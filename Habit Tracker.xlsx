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abit Tracker" sheetId="1" r:id="rId5"/>
    <sheet state="visible" name="Budget Tracker" sheetId="2" r:id="rId6"/>
  </sheets>
  <definedNames/>
  <calcPr/>
</workbook>
</file>

<file path=xl/sharedStrings.xml><?xml version="1.0" encoding="utf-8"?>
<sst xmlns="http://schemas.openxmlformats.org/spreadsheetml/2006/main" count="55" uniqueCount="41">
  <si>
    <t>January</t>
  </si>
  <si>
    <t>Habit Tracker</t>
  </si>
  <si>
    <t>OVERVIEW DAILY PROGRESS</t>
  </si>
  <si>
    <t>February</t>
  </si>
  <si>
    <t>Completed</t>
  </si>
  <si>
    <t>March</t>
  </si>
  <si>
    <t>Left</t>
  </si>
  <si>
    <t>April</t>
  </si>
  <si>
    <t>Target</t>
  </si>
  <si>
    <t>May</t>
  </si>
  <si>
    <t>June</t>
  </si>
  <si>
    <t>July</t>
  </si>
  <si>
    <t>August</t>
  </si>
  <si>
    <t xml:space="preserve">Calender </t>
  </si>
  <si>
    <t>September</t>
  </si>
  <si>
    <t>Year</t>
  </si>
  <si>
    <t>October</t>
  </si>
  <si>
    <t>Month</t>
  </si>
  <si>
    <t>November</t>
  </si>
  <si>
    <t>December</t>
  </si>
  <si>
    <t>Overview</t>
  </si>
  <si>
    <t>Week 1</t>
  </si>
  <si>
    <t>Week 2</t>
  </si>
  <si>
    <t>Week 3</t>
  </si>
  <si>
    <t>Week 4</t>
  </si>
  <si>
    <t>Week 5</t>
  </si>
  <si>
    <t>TOP 10 DAILY HABITS</t>
  </si>
  <si>
    <t>GYM Done</t>
  </si>
  <si>
    <t>Meditation</t>
  </si>
  <si>
    <t>Deep Work</t>
  </si>
  <si>
    <t>Task 1</t>
  </si>
  <si>
    <t>TASK2</t>
  </si>
  <si>
    <t>COMPLETED</t>
  </si>
  <si>
    <t>TASK3</t>
  </si>
  <si>
    <t>GOAL</t>
  </si>
  <si>
    <t>LEFT</t>
  </si>
  <si>
    <t>WEEKLY PROGRESS</t>
  </si>
  <si>
    <t>Daily Habit</t>
  </si>
  <si>
    <t>Goals</t>
  </si>
  <si>
    <t>Progress</t>
  </si>
  <si>
    <t>Reading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</si>
</sst>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d"/>
    <numFmt numFmtId="165" formatCode="d"/>
    <numFmt numFmtId="166" formatCode="0.0%"/>
  </numFmts>
  <fonts count="16">
    <font>
      <sz val="10.0"/>
      <color rgb="FF000000"/>
      <name val="Arial"/>
      <scheme val="minor"/>
    </font>
    <font>
      <color theme="1"/>
      <name val="Arial"/>
    </font>
    <font>
      <color rgb="FFFFFFFF"/>
      <name val="Arial"/>
    </font>
    <font>
      <sz val="14.0"/>
      <color theme="1"/>
      <name val="Pacifico"/>
    </font>
    <font/>
    <font>
      <b/>
      <sz val="14.0"/>
      <color rgb="FF0000FF"/>
      <name val="Lexend"/>
    </font>
    <font>
      <color theme="1"/>
      <name val="Lexend"/>
    </font>
    <font>
      <sz val="9.0"/>
      <color theme="1"/>
      <name val="Arial"/>
    </font>
    <font>
      <sz val="12.0"/>
      <color theme="1"/>
      <name val="Oswald"/>
    </font>
    <font>
      <sz val="9.0"/>
      <color theme="1"/>
      <name val="EB Garamond"/>
    </font>
    <font>
      <sz val="11.0"/>
      <color theme="1"/>
      <name val="EB Garamond"/>
    </font>
    <font>
      <b/>
      <color theme="1"/>
      <name val="Arial"/>
    </font>
    <font>
      <sz val="11.0"/>
      <color theme="1"/>
      <name val="Arial"/>
    </font>
    <font>
      <b/>
      <sz val="10.0"/>
      <color theme="1"/>
      <name val="Arial"/>
    </font>
    <font>
      <color rgb="FFFFFFFF"/>
      <name val="Arial"/>
      <scheme val="minor"/>
    </font>
    <font>
      <b/>
      <sz val="9.0"/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9FC5E8"/>
        <bgColor rgb="FF9FC5E8"/>
      </patternFill>
    </fill>
    <fill>
      <patternFill patternType="solid">
        <fgColor rgb="FFE6B8AF"/>
        <bgColor rgb="FFE6B8AF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F3F3F3"/>
        <bgColor rgb="FFF3F3F3"/>
      </patternFill>
    </fill>
    <fill>
      <patternFill patternType="solid">
        <fgColor rgb="FFD0E0E3"/>
        <bgColor rgb="FFD0E0E3"/>
      </patternFill>
    </fill>
  </fills>
  <borders count="76">
    <border/>
    <border>
      <left style="thin">
        <color rgb="FF20124D"/>
      </left>
      <top style="thin">
        <color rgb="FF20124D"/>
      </top>
    </border>
    <border>
      <top style="thin">
        <color rgb="FF20124D"/>
      </top>
    </border>
    <border>
      <right style="thin">
        <color rgb="FF20124D"/>
      </right>
      <top style="thin">
        <color rgb="FF20124D"/>
      </top>
    </border>
    <border>
      <left style="thin">
        <color rgb="FF20124D"/>
      </left>
    </border>
    <border>
      <right style="thin">
        <color rgb="FF20124D"/>
      </right>
    </border>
    <border>
      <left style="thin">
        <color rgb="FF20124D"/>
      </left>
      <bottom style="thin">
        <color rgb="FF000000"/>
      </bottom>
    </border>
    <border>
      <bottom style="thin">
        <color rgb="FF000000"/>
      </bottom>
    </border>
    <border>
      <right style="thin">
        <color rgb="FF20124D"/>
      </right>
      <bottom style="thin">
        <color rgb="FF000000"/>
      </bottom>
    </border>
    <border>
      <left style="thin">
        <color rgb="FF20124D"/>
      </left>
      <bottom style="thin">
        <color rgb="FF20124D"/>
      </bottom>
    </border>
    <border>
      <bottom style="thin">
        <color rgb="FF20124D"/>
      </bottom>
    </border>
    <border>
      <right style="thin">
        <color rgb="FF20124D"/>
      </right>
      <bottom style="thin">
        <color rgb="FF20124D"/>
      </bottom>
    </border>
    <border>
      <left style="thin">
        <color rgb="FF20124D"/>
      </left>
      <top style="thin">
        <color rgb="FF000000"/>
      </top>
    </border>
    <border>
      <top style="thin">
        <color rgb="FF000000"/>
      </top>
    </border>
    <border>
      <right style="thin">
        <color rgb="FF20124D"/>
      </right>
      <top style="thin">
        <color rgb="FF000000"/>
      </top>
    </border>
    <border>
      <left style="thin">
        <color rgb="FF20124D"/>
      </left>
      <bottom style="thin">
        <color rgb="FF666666"/>
      </bottom>
    </border>
    <border>
      <bottom style="thin">
        <color rgb="FF666666"/>
      </bottom>
    </border>
    <border>
      <right style="thin">
        <color rgb="FF20124D"/>
      </right>
      <bottom style="thin">
        <color rgb="FF666666"/>
      </bottom>
    </border>
    <border>
      <left style="thin">
        <color rgb="FF20124D"/>
      </left>
      <bottom style="medium">
        <color rgb="FF434343"/>
      </bottom>
    </border>
    <border>
      <bottom style="medium">
        <color rgb="FF434343"/>
      </bottom>
    </border>
    <border>
      <right style="thin">
        <color rgb="FF20124D"/>
      </right>
      <bottom style="medium">
        <color rgb="FF434343"/>
      </bottom>
    </border>
    <border>
      <left style="thin">
        <color rgb="FF434343"/>
      </left>
      <right style="thin">
        <color rgb="FF434343"/>
      </right>
      <top style="thin">
        <color rgb="FF434343"/>
      </top>
      <bottom style="thin">
        <color rgb="FFEFEFEF"/>
      </bottom>
    </border>
    <border>
      <top style="thin">
        <color rgb="FF434343"/>
      </top>
      <bottom style="thin">
        <color rgb="FFEFEFEF"/>
      </bottom>
    </border>
    <border>
      <right style="thin">
        <color rgb="FF434343"/>
      </right>
      <top style="thin">
        <color rgb="FF434343"/>
      </top>
      <bottom style="thin">
        <color rgb="FFEFEFEF"/>
      </bottom>
    </border>
    <border>
      <left style="thin">
        <color rgb="FF434343"/>
      </left>
      <right style="thin">
        <color rgb="FF434343"/>
      </right>
      <top style="thin">
        <color rgb="FFEFEFEF"/>
      </top>
      <bottom style="thin">
        <color rgb="FFEFEFEF"/>
      </bottom>
    </border>
    <border>
      <top style="thin">
        <color rgb="FFEFEFEF"/>
      </top>
      <bottom style="thin">
        <color rgb="FFEFEFEF"/>
      </bottom>
    </border>
    <border>
      <right style="thin">
        <color rgb="FF434343"/>
      </right>
      <top style="thin">
        <color rgb="FFEFEFEF"/>
      </top>
      <bottom style="thin">
        <color rgb="FFEFEFEF"/>
      </bottom>
    </border>
    <border>
      <left style="thin">
        <color rgb="FF20124D"/>
      </left>
      <top style="thin">
        <color rgb="FF666666"/>
      </top>
      <bottom style="thin">
        <color rgb="FFCCCCCC"/>
      </bottom>
    </border>
    <border>
      <top style="thin">
        <color rgb="FF666666"/>
      </top>
      <bottom style="thin">
        <color rgb="FFCCCCCC"/>
      </bottom>
    </border>
    <border>
      <right style="thin">
        <color rgb="FFCCCCCC"/>
      </right>
      <top style="thin">
        <color rgb="FF666666"/>
      </top>
      <bottom style="thin">
        <color rgb="FFCCCCCC"/>
      </bottom>
    </border>
    <border>
      <left style="thin">
        <color rgb="FF666666"/>
      </left>
      <right style="thin">
        <color rgb="FFCCCCCC"/>
      </right>
      <top style="thin">
        <color rgb="FF666666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666666"/>
      </top>
      <bottom style="thin">
        <color rgb="FFCCCCCC"/>
      </bottom>
    </border>
    <border>
      <left style="thin">
        <color rgb="FFCCCCCC"/>
      </left>
      <right style="thin">
        <color rgb="FF666666"/>
      </right>
      <top style="thin">
        <color rgb="FF666666"/>
      </top>
      <bottom style="thin">
        <color rgb="FFCCCCCC"/>
      </bottom>
    </border>
    <border>
      <left style="thin">
        <color rgb="FFCCCCCC"/>
      </left>
      <top style="thin">
        <color rgb="FF666666"/>
      </top>
      <bottom style="thin">
        <color rgb="FFCCCCCC"/>
      </bottom>
    </border>
    <border>
      <left style="thin">
        <color rgb="FFCCCCCC"/>
      </left>
      <right style="thin">
        <color rgb="FF20124D"/>
      </right>
      <top style="thin">
        <color rgb="FF666666"/>
      </top>
      <bottom style="thin">
        <color rgb="FFCCCCCC"/>
      </bottom>
    </border>
    <border>
      <left style="thin">
        <color rgb="FF20124D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666666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666666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20124D"/>
      </right>
      <top style="thin">
        <color rgb="FFCCCCCC"/>
      </top>
      <bottom style="thin">
        <color rgb="FFCCCCCC"/>
      </bottom>
    </border>
    <border>
      <left style="thin">
        <color rgb="FF20124D"/>
      </left>
      <top style="thin">
        <color rgb="FFCCCCCC"/>
      </top>
    </border>
    <border>
      <top style="thin">
        <color rgb="FFCCCCCC"/>
      </top>
    </border>
    <border>
      <right style="thin">
        <color rgb="FFCCCCCC"/>
      </right>
      <top style="thin">
        <color rgb="FFCCCCCC"/>
      </top>
    </border>
    <border>
      <left style="thin">
        <color rgb="FF666666"/>
      </left>
      <top style="thin">
        <color rgb="FFCCCCCC"/>
      </top>
      <bottom style="thin">
        <color rgb="FFCCCCCC"/>
      </bottom>
    </border>
    <border>
      <right style="thin">
        <color rgb="FF666666"/>
      </right>
      <top style="thin">
        <color rgb="FFCCCCCC"/>
      </top>
      <bottom style="thin">
        <color rgb="FFCCCCCC"/>
      </bottom>
    </border>
    <border>
      <right style="thin">
        <color rgb="FF20124D"/>
      </right>
      <top style="thin">
        <color rgb="FFCCCCCC"/>
      </top>
      <bottom style="thin">
        <color rgb="FFCCCCCC"/>
      </bottom>
    </border>
    <border>
      <left style="thin">
        <color rgb="FF434343"/>
      </left>
      <right style="thin">
        <color rgb="FF434343"/>
      </right>
      <top style="thin">
        <color rgb="FFEFEFEF"/>
      </top>
      <bottom style="thin">
        <color rgb="FF434343"/>
      </bottom>
    </border>
    <border>
      <top style="thin">
        <color rgb="FFEFEFEF"/>
      </top>
      <bottom style="thin">
        <color rgb="FF434343"/>
      </bottom>
    </border>
    <border>
      <right style="thin">
        <color rgb="FF434343"/>
      </right>
      <top style="thin">
        <color rgb="FFEFEFEF"/>
      </top>
      <bottom style="thin">
        <color rgb="FF434343"/>
      </bottom>
    </border>
    <border>
      <right style="thin">
        <color rgb="FFCCCCCC"/>
      </right>
    </border>
    <border>
      <right style="thin">
        <color rgb="FFCCCCCC"/>
      </right>
      <bottom style="thin">
        <color rgb="FF20124D"/>
      </bottom>
    </border>
    <border>
      <left style="thin">
        <color rgb="FF666666"/>
      </left>
      <top style="thin">
        <color rgb="FFCCCCCC"/>
      </top>
      <bottom style="thin">
        <color rgb="FF20124D"/>
      </bottom>
    </border>
    <border>
      <top style="thin">
        <color rgb="FFCCCCCC"/>
      </top>
      <bottom style="thin">
        <color rgb="FF20124D"/>
      </bottom>
    </border>
    <border>
      <right style="thin">
        <color rgb="FF666666"/>
      </right>
      <top style="thin">
        <color rgb="FFCCCCCC"/>
      </top>
      <bottom style="thin">
        <color rgb="FF20124D"/>
      </bottom>
    </border>
    <border>
      <right style="thin">
        <color rgb="FFCCCCCC"/>
      </right>
      <top style="thin">
        <color rgb="FFCCCCCC"/>
      </top>
      <bottom style="thin">
        <color rgb="FF20124D"/>
      </bottom>
    </border>
    <border>
      <right style="thin">
        <color rgb="FF20124D"/>
      </right>
      <top style="thin">
        <color rgb="FFCCCCCC"/>
      </top>
      <bottom style="thin">
        <color rgb="FF20124D"/>
      </bottom>
    </border>
    <border>
      <left style="thin">
        <color rgb="FFCCCCCC"/>
      </left>
      <top style="thin">
        <color rgb="FF20124D"/>
      </top>
    </border>
    <border>
      <right style="thin">
        <color rgb="FFCCCCCC"/>
      </right>
      <top style="thin">
        <color rgb="FF20124D"/>
      </top>
    </border>
    <border>
      <left style="thin">
        <color rgb="FF000000"/>
      </left>
      <top style="thin">
        <color rgb="FF000000"/>
      </top>
    </border>
    <border>
      <left style="thin">
        <color rgb="FF20124D"/>
      </left>
      <right style="thin">
        <color rgb="FF20124D"/>
      </right>
      <top style="thin">
        <color rgb="FF20124D"/>
      </top>
    </border>
    <border>
      <right style="thin">
        <color rgb="FF000000"/>
      </right>
      <top style="thin">
        <color rgb="FF000000"/>
      </top>
    </border>
    <border>
      <left style="thin">
        <color rgb="FFCCCCCC"/>
      </left>
    </border>
    <border>
      <left style="thin">
        <color rgb="FF000000"/>
      </left>
    </border>
    <border>
      <left style="thin">
        <color rgb="FF20124D"/>
      </left>
      <right style="thin">
        <color rgb="FF20124D"/>
      </right>
    </border>
    <border>
      <right style="thin">
        <color rgb="FF000000"/>
      </right>
    </border>
    <border>
      <left style="thin">
        <color rgb="FF000000"/>
      </left>
      <top style="thin">
        <color rgb="FF20124D"/>
      </top>
    </border>
    <border>
      <right style="thin">
        <color rgb="FF000000"/>
      </right>
      <top style="thin">
        <color rgb="FF20124D"/>
      </top>
    </border>
    <border>
      <left style="thin">
        <color rgb="FFCCCCCC"/>
      </left>
      <bottom style="thin">
        <color rgb="FF20124D"/>
      </bottom>
    </border>
    <border>
      <left style="thin">
        <color rgb="FFCCCCCC"/>
      </left>
      <bottom style="thin">
        <color rgb="FF666666"/>
      </bottom>
    </border>
    <border>
      <right style="thin">
        <color rgb="FFCCCCCC"/>
      </right>
      <bottom style="thin">
        <color rgb="FF666666"/>
      </bottom>
    </border>
    <border>
      <left style="thin">
        <color rgb="FF000000"/>
      </left>
      <bottom style="thin">
        <color rgb="FF000000"/>
      </bottom>
    </border>
    <border>
      <left style="thin">
        <color rgb="FF20124D"/>
      </left>
      <right style="thin">
        <color rgb="FF20124D"/>
      </right>
      <bottom style="thin">
        <color rgb="FF20124D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6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left" readingOrder="0"/>
    </xf>
    <xf borderId="1" fillId="2" fontId="3" numFmtId="0" xfId="0" applyAlignment="1" applyBorder="1" applyFill="1" applyFont="1">
      <alignment horizontal="center" readingOrder="0" vertical="center"/>
    </xf>
    <xf borderId="2" fillId="0" fontId="4" numFmtId="0" xfId="0" applyBorder="1" applyFont="1"/>
    <xf borderId="3" fillId="0" fontId="4" numFmtId="0" xfId="0" applyBorder="1" applyFont="1"/>
    <xf borderId="1" fillId="3" fontId="3" numFmtId="0" xfId="0" applyAlignment="1" applyBorder="1" applyFill="1" applyFont="1">
      <alignment horizontal="center" readingOrder="0" vertical="center"/>
    </xf>
    <xf borderId="0" fillId="0" fontId="2" numFmtId="0" xfId="0" applyAlignment="1" applyFont="1">
      <alignment horizontal="right" readingOrder="0"/>
    </xf>
    <xf borderId="4" fillId="0" fontId="4" numFmtId="0" xfId="0" applyBorder="1" applyFont="1"/>
    <xf borderId="5" fillId="0" fontId="4" numFmtId="0" xfId="0" applyBorder="1" applyFont="1"/>
    <xf borderId="6" fillId="0" fontId="4" numFmtId="0" xfId="0" applyBorder="1" applyFont="1"/>
    <xf borderId="7" fillId="0" fontId="4" numFmtId="0" xfId="0" applyBorder="1" applyFont="1"/>
    <xf borderId="8" fillId="0" fontId="4" numFmtId="0" xfId="0" applyBorder="1" applyFont="1"/>
    <xf borderId="4" fillId="0" fontId="1" numFmtId="0" xfId="0" applyAlignment="1" applyBorder="1" applyFont="1">
      <alignment horizontal="center"/>
    </xf>
    <xf borderId="5" fillId="0" fontId="1" numFmtId="0" xfId="0" applyAlignment="1" applyBorder="1" applyFont="1">
      <alignment horizontal="center"/>
    </xf>
    <xf borderId="4" fillId="0" fontId="5" numFmtId="0" xfId="0" applyAlignment="1" applyBorder="1" applyFont="1">
      <alignment horizontal="center" vertical="center"/>
    </xf>
    <xf borderId="9" fillId="0" fontId="4" numFmtId="0" xfId="0" applyBorder="1" applyFont="1"/>
    <xf borderId="10" fillId="0" fontId="4" numFmtId="0" xfId="0" applyBorder="1" applyFont="1"/>
    <xf borderId="11" fillId="0" fontId="4" numFmtId="0" xfId="0" applyBorder="1" applyFont="1"/>
    <xf borderId="1" fillId="4" fontId="3" numFmtId="0" xfId="0" applyAlignment="1" applyBorder="1" applyFill="1" applyFont="1">
      <alignment horizontal="center" readingOrder="0"/>
    </xf>
    <xf borderId="12" fillId="0" fontId="6" numFmtId="0" xfId="0" applyAlignment="1" applyBorder="1" applyFont="1">
      <alignment horizontal="center" readingOrder="0"/>
    </xf>
    <xf borderId="13" fillId="0" fontId="4" numFmtId="0" xfId="0" applyBorder="1" applyFont="1"/>
    <xf borderId="13" fillId="0" fontId="6" numFmtId="0" xfId="0" applyAlignment="1" applyBorder="1" applyFont="1">
      <alignment horizontal="center" readingOrder="0"/>
    </xf>
    <xf borderId="14" fillId="0" fontId="4" numFmtId="0" xfId="0" applyBorder="1" applyFont="1"/>
    <xf borderId="9" fillId="0" fontId="6" numFmtId="0" xfId="0" applyAlignment="1" applyBorder="1" applyFont="1">
      <alignment horizontal="center" readingOrder="0"/>
    </xf>
    <xf borderId="10" fillId="0" fontId="6" numFmtId="0" xfId="0" applyAlignment="1" applyBorder="1" applyFont="1">
      <alignment horizontal="center" readingOrder="0"/>
    </xf>
    <xf borderId="9" fillId="0" fontId="1" numFmtId="0" xfId="0" applyAlignment="1" applyBorder="1" applyFont="1">
      <alignment horizontal="center"/>
    </xf>
    <xf borderId="10" fillId="0" fontId="1" numFmtId="0" xfId="0" applyAlignment="1" applyBorder="1" applyFont="1">
      <alignment horizontal="center"/>
    </xf>
    <xf borderId="11" fillId="0" fontId="1" numFmtId="0" xfId="0" applyAlignment="1" applyBorder="1" applyFont="1">
      <alignment horizontal="center"/>
    </xf>
    <xf borderId="0" fillId="0" fontId="7" numFmtId="9" xfId="0" applyAlignment="1" applyFont="1" applyNumberFormat="1">
      <alignment horizontal="center"/>
    </xf>
    <xf borderId="2" fillId="5" fontId="8" numFmtId="0" xfId="0" applyAlignment="1" applyBorder="1" applyFill="1" applyFont="1">
      <alignment horizontal="center" readingOrder="0" vertical="center"/>
    </xf>
    <xf borderId="2" fillId="6" fontId="8" numFmtId="0" xfId="0" applyAlignment="1" applyBorder="1" applyFill="1" applyFont="1">
      <alignment horizontal="center" readingOrder="0" vertical="center"/>
    </xf>
    <xf borderId="2" fillId="7" fontId="8" numFmtId="0" xfId="0" applyAlignment="1" applyBorder="1" applyFill="1" applyFont="1">
      <alignment horizontal="center" readingOrder="0" vertical="center"/>
    </xf>
    <xf borderId="2" fillId="3" fontId="8" numFmtId="0" xfId="0" applyAlignment="1" applyBorder="1" applyFont="1">
      <alignment horizontal="center" readingOrder="0" vertical="center"/>
    </xf>
    <xf borderId="2" fillId="8" fontId="8" numFmtId="0" xfId="0" applyAlignment="1" applyBorder="1" applyFill="1" applyFont="1">
      <alignment horizontal="center" readingOrder="0" vertical="center"/>
    </xf>
    <xf borderId="0" fillId="9" fontId="9" numFmtId="164" xfId="0" applyAlignment="1" applyFill="1" applyFont="1" applyNumberFormat="1">
      <alignment horizontal="center" readingOrder="0" vertical="center"/>
    </xf>
    <xf borderId="5" fillId="9" fontId="9" numFmtId="164" xfId="0" applyAlignment="1" applyBorder="1" applyFont="1" applyNumberFormat="1">
      <alignment horizontal="center" readingOrder="0" vertical="center"/>
    </xf>
    <xf borderId="15" fillId="0" fontId="4" numFmtId="0" xfId="0" applyBorder="1" applyFont="1"/>
    <xf borderId="16" fillId="0" fontId="4" numFmtId="0" xfId="0" applyBorder="1" applyFont="1"/>
    <xf borderId="16" fillId="9" fontId="10" numFmtId="165" xfId="0" applyAlignment="1" applyBorder="1" applyFont="1" applyNumberFormat="1">
      <alignment horizontal="center" readingOrder="0" vertical="center"/>
    </xf>
    <xf borderId="17" fillId="9" fontId="10" numFmtId="165" xfId="0" applyAlignment="1" applyBorder="1" applyFont="1" applyNumberFormat="1">
      <alignment horizontal="center" readingOrder="0" vertical="center"/>
    </xf>
    <xf borderId="18" fillId="0" fontId="4" numFmtId="0" xfId="0" applyBorder="1" applyFont="1"/>
    <xf borderId="19" fillId="0" fontId="4" numFmtId="0" xfId="0" applyBorder="1" applyFont="1"/>
    <xf borderId="20" fillId="0" fontId="4" numFmtId="0" xfId="0" applyBorder="1" applyFont="1"/>
    <xf borderId="4" fillId="9" fontId="1" numFmtId="0" xfId="0" applyAlignment="1" applyBorder="1" applyFont="1">
      <alignment horizontal="center" readingOrder="0"/>
    </xf>
    <xf borderId="0" fillId="9" fontId="1" numFmtId="0" xfId="0" applyAlignment="1" applyFont="1">
      <alignment horizontal="center" readingOrder="0"/>
    </xf>
    <xf borderId="21" fillId="0" fontId="1" numFmtId="0" xfId="0" applyAlignment="1" applyBorder="1" applyFont="1">
      <alignment horizontal="center" readingOrder="0"/>
    </xf>
    <xf borderId="22" fillId="0" fontId="6" numFmtId="0" xfId="0" applyAlignment="1" applyBorder="1" applyFont="1">
      <alignment horizontal="center"/>
    </xf>
    <xf borderId="22" fillId="0" fontId="4" numFmtId="0" xfId="0" applyBorder="1" applyFont="1"/>
    <xf borderId="23" fillId="0" fontId="4" numFmtId="0" xfId="0" applyBorder="1" applyFont="1"/>
    <xf borderId="24" fillId="0" fontId="1" numFmtId="0" xfId="0" applyAlignment="1" applyBorder="1" applyFont="1">
      <alignment horizontal="center" readingOrder="0"/>
    </xf>
    <xf borderId="25" fillId="0" fontId="6" numFmtId="0" xfId="0" applyAlignment="1" applyBorder="1" applyFont="1">
      <alignment horizontal="center"/>
    </xf>
    <xf borderId="25" fillId="0" fontId="4" numFmtId="0" xfId="0" applyBorder="1" applyFont="1"/>
    <xf borderId="26" fillId="0" fontId="4" numFmtId="0" xfId="0" applyBorder="1" applyFont="1"/>
    <xf borderId="27" fillId="9" fontId="6" numFmtId="0" xfId="0" applyAlignment="1" applyBorder="1" applyFont="1">
      <alignment horizontal="center" readingOrder="0"/>
    </xf>
    <xf borderId="28" fillId="0" fontId="4" numFmtId="0" xfId="0" applyBorder="1" applyFont="1"/>
    <xf borderId="29" fillId="0" fontId="4" numFmtId="0" xfId="0" applyBorder="1" applyFont="1"/>
    <xf borderId="30" fillId="9" fontId="1" numFmtId="0" xfId="0" applyAlignment="1" applyBorder="1" applyFont="1">
      <alignment horizontal="center" readingOrder="0"/>
    </xf>
    <xf borderId="31" fillId="9" fontId="1" numFmtId="0" xfId="0" applyAlignment="1" applyBorder="1" applyFont="1">
      <alignment horizontal="center" readingOrder="0"/>
    </xf>
    <xf borderId="32" fillId="9" fontId="1" numFmtId="0" xfId="0" applyAlignment="1" applyBorder="1" applyFont="1">
      <alignment horizontal="center" readingOrder="0"/>
    </xf>
    <xf borderId="29" fillId="9" fontId="1" numFmtId="0" xfId="0" applyAlignment="1" applyBorder="1" applyFont="1">
      <alignment horizontal="center" readingOrder="0"/>
    </xf>
    <xf borderId="33" fillId="9" fontId="1" numFmtId="0" xfId="0" applyAlignment="1" applyBorder="1" applyFont="1">
      <alignment horizontal="center" readingOrder="0"/>
    </xf>
    <xf borderId="34" fillId="9" fontId="1" numFmtId="0" xfId="0" applyAlignment="1" applyBorder="1" applyFont="1">
      <alignment horizontal="center" readingOrder="0"/>
    </xf>
    <xf borderId="35" fillId="9" fontId="6" numFmtId="0" xfId="0" applyAlignment="1" applyBorder="1" applyFont="1">
      <alignment horizontal="center" readingOrder="0"/>
    </xf>
    <xf borderId="36" fillId="0" fontId="4" numFmtId="0" xfId="0" applyBorder="1" applyFont="1"/>
    <xf borderId="37" fillId="0" fontId="4" numFmtId="0" xfId="0" applyBorder="1" applyFont="1"/>
    <xf borderId="38" fillId="9" fontId="1" numFmtId="0" xfId="0" applyAlignment="1" applyBorder="1" applyFont="1">
      <alignment horizontal="center"/>
    </xf>
    <xf borderId="39" fillId="9" fontId="1" numFmtId="0" xfId="0" applyAlignment="1" applyBorder="1" applyFont="1">
      <alignment horizontal="center"/>
    </xf>
    <xf borderId="40" fillId="9" fontId="1" numFmtId="0" xfId="0" applyAlignment="1" applyBorder="1" applyFont="1">
      <alignment horizontal="center"/>
    </xf>
    <xf borderId="37" fillId="9" fontId="1" numFmtId="0" xfId="0" applyAlignment="1" applyBorder="1" applyFont="1">
      <alignment horizontal="center"/>
    </xf>
    <xf borderId="41" fillId="9" fontId="1" numFmtId="0" xfId="0" applyAlignment="1" applyBorder="1" applyFont="1">
      <alignment horizontal="center"/>
    </xf>
    <xf borderId="42" fillId="9" fontId="1" numFmtId="0" xfId="0" applyAlignment="1" applyBorder="1" applyFont="1">
      <alignment horizontal="center"/>
    </xf>
    <xf borderId="43" fillId="9" fontId="6" numFmtId="0" xfId="0" applyAlignment="1" applyBorder="1" applyFont="1">
      <alignment horizontal="center" readingOrder="0" vertical="center"/>
    </xf>
    <xf borderId="44" fillId="0" fontId="4" numFmtId="0" xfId="0" applyBorder="1" applyFont="1"/>
    <xf borderId="45" fillId="0" fontId="4" numFmtId="0" xfId="0" applyBorder="1" applyFont="1"/>
    <xf borderId="46" fillId="9" fontId="1" numFmtId="0" xfId="0" applyAlignment="1" applyBorder="1" applyFont="1">
      <alignment horizontal="center"/>
    </xf>
    <xf borderId="47" fillId="0" fontId="4" numFmtId="0" xfId="0" applyBorder="1" applyFont="1"/>
    <xf borderId="36" fillId="9" fontId="1" numFmtId="0" xfId="0" applyAlignment="1" applyBorder="1" applyFont="1">
      <alignment horizontal="center"/>
    </xf>
    <xf borderId="48" fillId="0" fontId="4" numFmtId="0" xfId="0" applyBorder="1" applyFont="1"/>
    <xf borderId="49" fillId="0" fontId="1" numFmtId="0" xfId="0" applyAlignment="1" applyBorder="1" applyFont="1">
      <alignment horizontal="center" readingOrder="0"/>
    </xf>
    <xf borderId="50" fillId="0" fontId="6" numFmtId="0" xfId="0" applyAlignment="1" applyBorder="1" applyFont="1">
      <alignment horizontal="center"/>
    </xf>
    <xf borderId="50" fillId="0" fontId="4" numFmtId="0" xfId="0" applyBorder="1" applyFont="1"/>
    <xf borderId="51" fillId="0" fontId="4" numFmtId="0" xfId="0" applyBorder="1" applyFont="1"/>
    <xf borderId="52" fillId="0" fontId="4" numFmtId="0" xfId="0" applyBorder="1" applyFont="1"/>
    <xf borderId="46" fillId="9" fontId="1" numFmtId="9" xfId="0" applyAlignment="1" applyBorder="1" applyFont="1" applyNumberFormat="1">
      <alignment horizontal="center"/>
    </xf>
    <xf borderId="36" fillId="9" fontId="1" numFmtId="9" xfId="0" applyAlignment="1" applyBorder="1" applyFont="1" applyNumberFormat="1">
      <alignment horizontal="center"/>
    </xf>
    <xf borderId="0" fillId="0" fontId="1" numFmtId="0" xfId="0" applyAlignment="1" applyFont="1">
      <alignment horizontal="center" readingOrder="0"/>
    </xf>
    <xf borderId="53" fillId="0" fontId="4" numFmtId="0" xfId="0" applyBorder="1" applyFont="1"/>
    <xf borderId="54" fillId="9" fontId="1" numFmtId="0" xfId="0" applyAlignment="1" applyBorder="1" applyFont="1">
      <alignment horizontal="center"/>
    </xf>
    <xf borderId="55" fillId="0" fontId="4" numFmtId="0" xfId="0" applyBorder="1" applyFont="1"/>
    <xf borderId="56" fillId="0" fontId="4" numFmtId="0" xfId="0" applyBorder="1" applyFont="1"/>
    <xf borderId="55" fillId="9" fontId="1" numFmtId="0" xfId="0" applyAlignment="1" applyBorder="1" applyFont="1">
      <alignment horizontal="center"/>
    </xf>
    <xf borderId="57" fillId="0" fontId="4" numFmtId="0" xfId="0" applyBorder="1" applyFont="1"/>
    <xf borderId="58" fillId="0" fontId="4" numFmtId="0" xfId="0" applyBorder="1" applyFont="1"/>
    <xf borderId="1" fillId="10" fontId="3" numFmtId="0" xfId="0" applyAlignment="1" applyBorder="1" applyFill="1" applyFont="1">
      <alignment horizontal="center" readingOrder="0" vertical="center"/>
    </xf>
    <xf borderId="2" fillId="7" fontId="11" numFmtId="0" xfId="0" applyAlignment="1" applyBorder="1" applyFont="1">
      <alignment horizontal="center" readingOrder="0" vertical="center"/>
    </xf>
    <xf borderId="59" fillId="5" fontId="8" numFmtId="0" xfId="0" applyAlignment="1" applyBorder="1" applyFont="1">
      <alignment horizontal="center" readingOrder="0" vertical="center"/>
    </xf>
    <xf borderId="60" fillId="0" fontId="4" numFmtId="0" xfId="0" applyBorder="1" applyFont="1"/>
    <xf borderId="59" fillId="7" fontId="8" numFmtId="0" xfId="0" applyAlignment="1" applyBorder="1" applyFont="1">
      <alignment horizontal="center" readingOrder="0" vertical="center"/>
    </xf>
    <xf borderId="59" fillId="8" fontId="8" numFmtId="0" xfId="0" applyAlignment="1" applyBorder="1" applyFont="1">
      <alignment horizontal="center" readingOrder="0" vertical="center"/>
    </xf>
    <xf borderId="0" fillId="0" fontId="12" numFmtId="0" xfId="0" applyAlignment="1" applyFont="1">
      <alignment horizontal="center" readingOrder="0" vertical="center"/>
    </xf>
    <xf borderId="61" fillId="9" fontId="13" numFmtId="0" xfId="0" applyAlignment="1" applyBorder="1" applyFont="1">
      <alignment horizontal="center" readingOrder="0" textRotation="90" vertical="center"/>
    </xf>
    <xf borderId="62" fillId="9" fontId="13" numFmtId="0" xfId="0" applyAlignment="1" applyBorder="1" applyFont="1">
      <alignment horizontal="center" readingOrder="0" textRotation="90" vertical="center"/>
    </xf>
    <xf borderId="13" fillId="9" fontId="13" numFmtId="10" xfId="0" applyAlignment="1" applyBorder="1" applyFont="1" applyNumberFormat="1">
      <alignment horizontal="center" readingOrder="0" textRotation="90"/>
    </xf>
    <xf borderId="13" fillId="9" fontId="11" numFmtId="0" xfId="0" applyAlignment="1" applyBorder="1" applyFont="1">
      <alignment horizontal="center" readingOrder="0"/>
    </xf>
    <xf borderId="63" fillId="0" fontId="4" numFmtId="0" xfId="0" applyBorder="1" applyFont="1"/>
    <xf borderId="64" fillId="0" fontId="4" numFmtId="0" xfId="0" applyBorder="1" applyFont="1"/>
    <xf borderId="65" fillId="0" fontId="4" numFmtId="0" xfId="0" applyBorder="1" applyFont="1"/>
    <xf borderId="66" fillId="0" fontId="4" numFmtId="0" xfId="0" applyBorder="1" applyFont="1"/>
    <xf borderId="0" fillId="9" fontId="13" numFmtId="10" xfId="0" applyAlignment="1" applyFont="1" applyNumberFormat="1">
      <alignment horizontal="center" readingOrder="0" textRotation="90"/>
    </xf>
    <xf borderId="0" fillId="9" fontId="1" numFmtId="0" xfId="0" applyAlignment="1" applyFont="1">
      <alignment horizontal="center"/>
    </xf>
    <xf borderId="67" fillId="0" fontId="4" numFmtId="0" xfId="0" applyBorder="1" applyFont="1"/>
    <xf borderId="64" fillId="5" fontId="9" numFmtId="164" xfId="0" applyAlignment="1" applyBorder="1" applyFont="1" applyNumberFormat="1">
      <alignment horizontal="center" readingOrder="0" vertical="center"/>
    </xf>
    <xf borderId="0" fillId="5" fontId="9" numFmtId="164" xfId="0" applyAlignment="1" applyFont="1" applyNumberFormat="1">
      <alignment horizontal="center" readingOrder="0" vertical="center"/>
    </xf>
    <xf borderId="52" fillId="5" fontId="9" numFmtId="164" xfId="0" applyAlignment="1" applyBorder="1" applyFont="1" applyNumberFormat="1">
      <alignment horizontal="center" readingOrder="0" vertical="center"/>
    </xf>
    <xf borderId="0" fillId="6" fontId="9" numFmtId="164" xfId="0" applyAlignment="1" applyFont="1" applyNumberFormat="1">
      <alignment horizontal="center" readingOrder="0" vertical="center"/>
    </xf>
    <xf borderId="64" fillId="7" fontId="9" numFmtId="164" xfId="0" applyAlignment="1" applyBorder="1" applyFont="1" applyNumberFormat="1">
      <alignment horizontal="center" readingOrder="0" vertical="center"/>
    </xf>
    <xf borderId="0" fillId="7" fontId="9" numFmtId="164" xfId="0" applyAlignment="1" applyFont="1" applyNumberFormat="1">
      <alignment horizontal="center" readingOrder="0" vertical="center"/>
    </xf>
    <xf borderId="52" fillId="7" fontId="9" numFmtId="164" xfId="0" applyAlignment="1" applyBorder="1" applyFont="1" applyNumberFormat="1">
      <alignment horizontal="center" readingOrder="0" vertical="center"/>
    </xf>
    <xf borderId="0" fillId="3" fontId="9" numFmtId="164" xfId="0" applyAlignment="1" applyFont="1" applyNumberFormat="1">
      <alignment horizontal="center" readingOrder="0" vertical="center"/>
    </xf>
    <xf borderId="64" fillId="8" fontId="9" numFmtId="164" xfId="0" applyAlignment="1" applyBorder="1" applyFont="1" applyNumberFormat="1">
      <alignment horizontal="center" readingOrder="0" vertical="center"/>
    </xf>
    <xf borderId="0" fillId="8" fontId="9" numFmtId="164" xfId="0" applyAlignment="1" applyFont="1" applyNumberFormat="1">
      <alignment horizontal="center" readingOrder="0" vertical="center"/>
    </xf>
    <xf borderId="5" fillId="8" fontId="9" numFmtId="164" xfId="0" applyAlignment="1" applyBorder="1" applyFont="1" applyNumberFormat="1">
      <alignment horizontal="center" readingOrder="0" vertical="center"/>
    </xf>
    <xf borderId="0" fillId="0" fontId="14" numFmtId="0" xfId="0" applyFont="1"/>
    <xf borderId="64" fillId="5" fontId="10" numFmtId="165" xfId="0" applyAlignment="1" applyBorder="1" applyFont="1" applyNumberFormat="1">
      <alignment horizontal="center" readingOrder="0" vertical="center"/>
    </xf>
    <xf borderId="0" fillId="5" fontId="10" numFmtId="165" xfId="0" applyAlignment="1" applyFont="1" applyNumberFormat="1">
      <alignment horizontal="center" readingOrder="0" vertical="center"/>
    </xf>
    <xf borderId="52" fillId="5" fontId="10" numFmtId="165" xfId="0" applyAlignment="1" applyBorder="1" applyFont="1" applyNumberFormat="1">
      <alignment horizontal="center" readingOrder="0" vertical="center"/>
    </xf>
    <xf borderId="0" fillId="6" fontId="10" numFmtId="165" xfId="0" applyAlignment="1" applyFont="1" applyNumberFormat="1">
      <alignment horizontal="center" readingOrder="0" vertical="center"/>
    </xf>
    <xf borderId="64" fillId="7" fontId="10" numFmtId="165" xfId="0" applyAlignment="1" applyBorder="1" applyFont="1" applyNumberFormat="1">
      <alignment horizontal="center" readingOrder="0" vertical="center"/>
    </xf>
    <xf borderId="0" fillId="7" fontId="10" numFmtId="165" xfId="0" applyAlignment="1" applyFont="1" applyNumberFormat="1">
      <alignment horizontal="center" readingOrder="0" vertical="center"/>
    </xf>
    <xf borderId="52" fillId="7" fontId="10" numFmtId="165" xfId="0" applyAlignment="1" applyBorder="1" applyFont="1" applyNumberFormat="1">
      <alignment horizontal="center" readingOrder="0" vertical="center"/>
    </xf>
    <xf borderId="0" fillId="3" fontId="10" numFmtId="165" xfId="0" applyAlignment="1" applyFont="1" applyNumberFormat="1">
      <alignment horizontal="center" readingOrder="0" vertical="center"/>
    </xf>
    <xf borderId="64" fillId="8" fontId="10" numFmtId="165" xfId="0" applyAlignment="1" applyBorder="1" applyFont="1" applyNumberFormat="1">
      <alignment horizontal="center" readingOrder="0" vertical="center"/>
    </xf>
    <xf borderId="0" fillId="8" fontId="10" numFmtId="165" xfId="0" applyAlignment="1" applyFont="1" applyNumberFormat="1">
      <alignment horizontal="center" readingOrder="0" vertical="center"/>
    </xf>
    <xf borderId="5" fillId="8" fontId="10" numFmtId="165" xfId="0" applyAlignment="1" applyBorder="1" applyFont="1" applyNumberFormat="1">
      <alignment horizontal="center" readingOrder="0" vertical="center"/>
    </xf>
    <xf borderId="0" fillId="9" fontId="15" numFmtId="166" xfId="0" applyAlignment="1" applyFont="1" applyNumberFormat="1">
      <alignment horizontal="center" readingOrder="0" textRotation="90"/>
    </xf>
    <xf borderId="4" fillId="0" fontId="1" numFmtId="0" xfId="0" applyAlignment="1" applyBorder="1" applyFont="1">
      <alignment horizontal="center" readingOrder="0"/>
    </xf>
    <xf borderId="0" fillId="0" fontId="6" numFmtId="0" xfId="0" applyAlignment="1" applyFont="1">
      <alignment horizontal="center" readingOrder="0"/>
    </xf>
    <xf borderId="64" fillId="0" fontId="1" numFmtId="0" xfId="0" applyAlignment="1" applyBorder="1" applyFont="1">
      <alignment horizontal="center" readingOrder="0"/>
    </xf>
    <xf borderId="52" fillId="0" fontId="1" numFmtId="0" xfId="0" applyAlignment="1" applyBorder="1" applyFont="1">
      <alignment horizontal="center" readingOrder="0"/>
    </xf>
    <xf borderId="5" fillId="0" fontId="1" numFmtId="0" xfId="0" applyAlignment="1" applyBorder="1" applyFont="1">
      <alignment horizontal="center" readingOrder="0"/>
    </xf>
    <xf borderId="68" fillId="9" fontId="6" numFmtId="0" xfId="0" applyAlignment="1" applyBorder="1" applyFont="1">
      <alignment horizontal="center"/>
    </xf>
    <xf borderId="62" fillId="9" fontId="6" numFmtId="0" xfId="0" applyAlignment="1" applyBorder="1" applyFont="1">
      <alignment horizontal="center"/>
    </xf>
    <xf borderId="2" fillId="9" fontId="6" numFmtId="9" xfId="0" applyAlignment="1" applyBorder="1" applyFont="1" applyNumberFormat="1">
      <alignment horizontal="center"/>
    </xf>
    <xf borderId="2" fillId="9" fontId="1" numFmtId="0" xfId="0" applyAlignment="1" applyBorder="1" applyFont="1">
      <alignment horizontal="center"/>
    </xf>
    <xf borderId="69" fillId="0" fontId="4" numFmtId="0" xfId="0" applyBorder="1" applyFont="1"/>
    <xf borderId="0" fillId="0" fontId="2" numFmtId="9" xfId="0" applyAlignment="1" applyFont="1" applyNumberFormat="1">
      <alignment horizontal="center"/>
    </xf>
    <xf borderId="0" fillId="0" fontId="2" numFmtId="10" xfId="0" applyAlignment="1" applyFont="1" applyNumberFormat="1">
      <alignment horizontal="center" readingOrder="0"/>
    </xf>
    <xf borderId="65" fillId="9" fontId="6" numFmtId="0" xfId="0" applyAlignment="1" applyBorder="1" applyFont="1">
      <alignment horizontal="center"/>
    </xf>
    <xf borderId="66" fillId="9" fontId="6" numFmtId="0" xfId="0" applyAlignment="1" applyBorder="1" applyFont="1">
      <alignment horizontal="center"/>
    </xf>
    <xf borderId="0" fillId="9" fontId="6" numFmtId="9" xfId="0" applyAlignment="1" applyFont="1" applyNumberFormat="1">
      <alignment horizontal="center"/>
    </xf>
    <xf borderId="52" fillId="0" fontId="1" numFmtId="0" xfId="0" applyAlignment="1" applyBorder="1" applyFont="1">
      <alignment horizontal="center"/>
    </xf>
    <xf borderId="64" fillId="0" fontId="1" numFmtId="0" xfId="0" applyAlignment="1" applyBorder="1" applyFont="1">
      <alignment horizontal="center"/>
    </xf>
    <xf borderId="9" fillId="0" fontId="1" numFmtId="0" xfId="0" applyAlignment="1" applyBorder="1" applyFont="1">
      <alignment horizontal="center" readingOrder="0"/>
    </xf>
    <xf borderId="10" fillId="0" fontId="1" numFmtId="0" xfId="0" applyAlignment="1" applyBorder="1" applyFont="1">
      <alignment horizontal="center" readingOrder="0"/>
    </xf>
    <xf borderId="70" fillId="0" fontId="1" numFmtId="0" xfId="0" applyAlignment="1" applyBorder="1" applyFont="1">
      <alignment horizontal="center" readingOrder="0"/>
    </xf>
    <xf borderId="53" fillId="0" fontId="1" numFmtId="0" xfId="0" applyAlignment="1" applyBorder="1" applyFont="1">
      <alignment horizontal="center"/>
    </xf>
    <xf borderId="71" fillId="0" fontId="1" numFmtId="0" xfId="0" applyAlignment="1" applyBorder="1" applyFont="1">
      <alignment horizontal="center"/>
    </xf>
    <xf borderId="16" fillId="0" fontId="1" numFmtId="0" xfId="0" applyAlignment="1" applyBorder="1" applyFont="1">
      <alignment horizontal="center"/>
    </xf>
    <xf borderId="72" fillId="0" fontId="1" numFmtId="0" xfId="0" applyAlignment="1" applyBorder="1" applyFont="1">
      <alignment horizontal="center"/>
    </xf>
    <xf borderId="70" fillId="0" fontId="1" numFmtId="0" xfId="0" applyAlignment="1" applyBorder="1" applyFont="1">
      <alignment horizontal="center"/>
    </xf>
    <xf borderId="11" fillId="0" fontId="1" numFmtId="0" xfId="0" applyAlignment="1" applyBorder="1" applyFont="1">
      <alignment horizontal="center" readingOrder="0"/>
    </xf>
    <xf borderId="73" fillId="9" fontId="6" numFmtId="0" xfId="0" applyAlignment="1" applyBorder="1" applyFont="1">
      <alignment horizontal="center"/>
    </xf>
    <xf borderId="74" fillId="9" fontId="6" numFmtId="0" xfId="0" applyAlignment="1" applyBorder="1" applyFont="1">
      <alignment horizontal="center"/>
    </xf>
    <xf borderId="7" fillId="9" fontId="6" numFmtId="9" xfId="0" applyAlignment="1" applyBorder="1" applyFont="1" applyNumberFormat="1">
      <alignment horizontal="center"/>
    </xf>
    <xf borderId="7" fillId="9" fontId="1" numFmtId="0" xfId="0" applyAlignment="1" applyBorder="1" applyFont="1">
      <alignment horizontal="center"/>
    </xf>
    <xf borderId="75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ser>
          <c:idx val="0"/>
          <c:order val="0"/>
          <c:spPr>
            <a:solidFill>
              <a:srgbClr val="FFE599">
                <a:alpha val="30000"/>
              </a:srgbClr>
            </a:solidFill>
            <a:ln cmpd="sng">
              <a:solidFill>
                <a:srgbClr val="FFE599">
                  <a:alpha val="100000"/>
                </a:srgbClr>
              </a:solidFill>
            </a:ln>
          </c:spPr>
          <c:val>
            <c:numRef>
              <c:f>'Habit Tracker'!$K$12:$AO$12</c:f>
              <c:numCache/>
            </c:numRef>
          </c:val>
        </c:ser>
        <c:axId val="1287930685"/>
        <c:axId val="215730174"/>
      </c:areaChart>
      <c:catAx>
        <c:axId val="12879306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5730174"/>
      </c:catAx>
      <c:valAx>
        <c:axId val="21573017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8793068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39234449760765566"/>
          <c:y val="0.05000000000000002"/>
          <c:w val="0.9488038277511962"/>
          <c:h val="0.9000000000000001"/>
        </c:manualLayout>
      </c:layout>
      <c:doughnutChart>
        <c:varyColors val="1"/>
        <c:ser>
          <c:idx val="0"/>
          <c:order val="0"/>
          <c:dPt>
            <c:idx val="0"/>
            <c:spPr>
              <a:solidFill>
                <a:srgbClr val="C27BA0"/>
              </a:solidFill>
            </c:spPr>
          </c:dPt>
          <c:dPt>
            <c:idx val="1"/>
            <c:spPr>
              <a:solidFill>
                <a:srgbClr val="B6D7A8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'Habit Tracker'!$BF$2:$BF$3</c:f>
            </c:strRef>
          </c:cat>
          <c:val>
            <c:numRef>
              <c:f>'Habit Tracker'!$BG$2:$BG$3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123825</xdr:colOff>
      <xdr:row>0</xdr:row>
      <xdr:rowOff>171450</xdr:rowOff>
    </xdr:from>
    <xdr:ext cx="8248650" cy="19526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41</xdr:col>
      <xdr:colOff>247650</xdr:colOff>
      <xdr:row>3</xdr:row>
      <xdr:rowOff>9525</xdr:rowOff>
    </xdr:from>
    <xdr:ext cx="3324225" cy="15621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C27BA0"/>
      </a:accent1>
      <a:accent2>
        <a:srgbClr val="B4A7D6"/>
      </a:accent2>
      <a:accent3>
        <a:srgbClr val="6FA8DC"/>
      </a:accent3>
      <a:accent4>
        <a:srgbClr val="6D9EEB"/>
      </a:accent4>
      <a:accent5>
        <a:srgbClr val="F6B26B"/>
      </a:accent5>
      <a:accent6>
        <a:srgbClr val="8E7CC3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0" width="3.25"/>
    <col customWidth="1" min="11" max="11" width="3.75"/>
    <col customWidth="1" min="12" max="40" width="3.25"/>
    <col customWidth="1" min="41" max="41" width="3.88"/>
    <col customWidth="1" min="42" max="42" width="3.25"/>
    <col customWidth="1" min="43" max="48" width="5.75"/>
    <col customWidth="1" min="49" max="49" width="3.25"/>
    <col customWidth="1" min="50" max="50" width="5.75"/>
    <col customWidth="1" min="51" max="51" width="6.38"/>
    <col customWidth="1" min="52" max="78" width="3.25"/>
    <col customWidth="1" min="79" max="103" width="4.1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2"/>
      <c r="AZ1" s="3"/>
      <c r="BA1" s="4" t="s">
        <v>0</v>
      </c>
      <c r="BB1" s="3">
        <v>1.0</v>
      </c>
      <c r="BC1" s="3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</row>
    <row r="2">
      <c r="A2" s="1"/>
      <c r="B2" s="5" t="s">
        <v>1</v>
      </c>
      <c r="C2" s="6"/>
      <c r="D2" s="6"/>
      <c r="E2" s="6"/>
      <c r="F2" s="6"/>
      <c r="G2" s="6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8" t="s">
        <v>2</v>
      </c>
      <c r="AR2" s="6"/>
      <c r="AS2" s="6"/>
      <c r="AT2" s="6"/>
      <c r="AU2" s="6"/>
      <c r="AV2" s="6"/>
      <c r="AW2" s="6"/>
      <c r="AX2" s="7"/>
      <c r="AY2" s="2"/>
      <c r="AZ2" s="3"/>
      <c r="BA2" s="4" t="s">
        <v>3</v>
      </c>
      <c r="BB2" s="3">
        <v>2.0</v>
      </c>
      <c r="BC2" s="3"/>
      <c r="BD2" s="2"/>
      <c r="BE2" s="2"/>
      <c r="BF2" s="9" t="s">
        <v>4</v>
      </c>
      <c r="BG2" s="2">
        <f>SUM(AQ34:AQ40)</f>
        <v>0</v>
      </c>
      <c r="BH2" s="2"/>
      <c r="BI2" s="2"/>
      <c r="BJ2" s="2"/>
      <c r="BK2" s="2"/>
      <c r="BL2" s="2"/>
      <c r="BM2" s="2"/>
      <c r="BN2" s="2"/>
      <c r="BO2" s="2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</row>
    <row r="3">
      <c r="A3" s="1"/>
      <c r="B3" s="10"/>
      <c r="H3" s="1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0"/>
      <c r="AX3" s="11"/>
      <c r="AY3" s="2"/>
      <c r="AZ3" s="3"/>
      <c r="BA3" s="4" t="s">
        <v>5</v>
      </c>
      <c r="BB3" s="3">
        <v>3.0</v>
      </c>
      <c r="BC3" s="3"/>
      <c r="BD3" s="2"/>
      <c r="BE3" s="2"/>
      <c r="BF3" s="9" t="s">
        <v>6</v>
      </c>
      <c r="BG3" s="2">
        <f>SUM(AR34:AR40)</f>
        <v>146</v>
      </c>
      <c r="BH3" s="2"/>
      <c r="BI3" s="2"/>
      <c r="BJ3" s="2"/>
      <c r="BK3" s="2"/>
      <c r="BL3" s="2"/>
      <c r="BM3" s="2"/>
      <c r="BN3" s="2"/>
      <c r="BO3" s="2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</row>
    <row r="4">
      <c r="A4" s="1"/>
      <c r="B4" s="12"/>
      <c r="C4" s="13"/>
      <c r="D4" s="13"/>
      <c r="E4" s="13"/>
      <c r="F4" s="13"/>
      <c r="G4" s="13"/>
      <c r="H4" s="14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5"/>
      <c r="AR4" s="1"/>
      <c r="AS4" s="1"/>
      <c r="AT4" s="1"/>
      <c r="AU4" s="1"/>
      <c r="AV4" s="1"/>
      <c r="AW4" s="1"/>
      <c r="AX4" s="16"/>
      <c r="AY4" s="2"/>
      <c r="AZ4" s="3"/>
      <c r="BA4" s="4" t="s">
        <v>7</v>
      </c>
      <c r="BB4" s="3">
        <v>4.0</v>
      </c>
      <c r="BC4" s="3"/>
      <c r="BD4" s="2"/>
      <c r="BE4" s="2"/>
      <c r="BF4" s="9" t="s">
        <v>8</v>
      </c>
      <c r="BG4" s="2">
        <f>SUM(I34:J40)</f>
        <v>146</v>
      </c>
      <c r="BH4" s="2"/>
      <c r="BI4" s="2"/>
      <c r="BJ4" s="2"/>
      <c r="BK4" s="2"/>
      <c r="BL4" s="2"/>
      <c r="BM4" s="2"/>
      <c r="BN4" s="2"/>
      <c r="BO4" s="2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</row>
    <row r="5">
      <c r="A5" s="1"/>
      <c r="B5" s="17" t="str">
        <f>CONCATENATE(" -", E11," -")</f>
        <v> -March -</v>
      </c>
      <c r="H5" s="1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5"/>
      <c r="AR5" s="1"/>
      <c r="AS5" s="1"/>
      <c r="AT5" s="1"/>
      <c r="AU5" s="1"/>
      <c r="AV5" s="1"/>
      <c r="AW5" s="1"/>
      <c r="AX5" s="16"/>
      <c r="AY5" s="2"/>
      <c r="AZ5" s="3"/>
      <c r="BA5" s="4" t="s">
        <v>9</v>
      </c>
      <c r="BB5" s="3">
        <v>5.0</v>
      </c>
      <c r="BC5" s="3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</row>
    <row r="6">
      <c r="A6" s="1"/>
      <c r="B6" s="18"/>
      <c r="C6" s="19"/>
      <c r="D6" s="19"/>
      <c r="E6" s="19"/>
      <c r="F6" s="19"/>
      <c r="G6" s="19"/>
      <c r="H6" s="20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5"/>
      <c r="AR6" s="1"/>
      <c r="AS6" s="1"/>
      <c r="AT6" s="1"/>
      <c r="AU6" s="1"/>
      <c r="AV6" s="1"/>
      <c r="AW6" s="1"/>
      <c r="AX6" s="16"/>
      <c r="AY6" s="2"/>
      <c r="AZ6" s="3"/>
      <c r="BA6" s="4" t="s">
        <v>10</v>
      </c>
      <c r="BB6" s="3">
        <v>6.0</v>
      </c>
      <c r="BC6" s="3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5"/>
      <c r="AR7" s="1"/>
      <c r="AS7" s="1"/>
      <c r="AT7" s="1"/>
      <c r="AU7" s="1"/>
      <c r="AV7" s="1"/>
      <c r="AW7" s="1"/>
      <c r="AX7" s="16"/>
      <c r="AY7" s="2"/>
      <c r="AZ7" s="3"/>
      <c r="BA7" s="4" t="s">
        <v>11</v>
      </c>
      <c r="BB7" s="3">
        <v>7.0</v>
      </c>
      <c r="BC7" s="3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5"/>
      <c r="AR8" s="1"/>
      <c r="AS8" s="1"/>
      <c r="AT8" s="1"/>
      <c r="AU8" s="1"/>
      <c r="AV8" s="1"/>
      <c r="AW8" s="1"/>
      <c r="AX8" s="16"/>
      <c r="AY8" s="2"/>
      <c r="AZ8" s="3"/>
      <c r="BA8" s="4" t="s">
        <v>12</v>
      </c>
      <c r="BB8" s="3">
        <v>8.0</v>
      </c>
      <c r="BC8" s="3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</row>
    <row r="9">
      <c r="A9" s="1"/>
      <c r="B9" s="21" t="s">
        <v>13</v>
      </c>
      <c r="C9" s="6"/>
      <c r="D9" s="6"/>
      <c r="E9" s="6"/>
      <c r="F9" s="6"/>
      <c r="G9" s="6"/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5"/>
      <c r="AR9" s="1"/>
      <c r="AS9" s="1"/>
      <c r="AT9" s="1"/>
      <c r="AU9" s="1"/>
      <c r="AV9" s="1"/>
      <c r="AW9" s="1"/>
      <c r="AX9" s="16"/>
      <c r="AY9" s="2"/>
      <c r="AZ9" s="3"/>
      <c r="BA9" s="4" t="s">
        <v>14</v>
      </c>
      <c r="BB9" s="3">
        <v>9.0</v>
      </c>
      <c r="BC9" s="3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</row>
    <row r="10">
      <c r="A10" s="1"/>
      <c r="B10" s="22" t="s">
        <v>15</v>
      </c>
      <c r="C10" s="23"/>
      <c r="D10" s="23"/>
      <c r="E10" s="24">
        <v>2026.0</v>
      </c>
      <c r="F10" s="23"/>
      <c r="G10" s="23"/>
      <c r="H10" s="25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5"/>
      <c r="AR10" s="1"/>
      <c r="AS10" s="1"/>
      <c r="AT10" s="1"/>
      <c r="AU10" s="1"/>
      <c r="AV10" s="1"/>
      <c r="AW10" s="1"/>
      <c r="AX10" s="16"/>
      <c r="AY10" s="2"/>
      <c r="AZ10" s="3"/>
      <c r="BA10" s="4" t="s">
        <v>16</v>
      </c>
      <c r="BB10" s="3">
        <v>10.0</v>
      </c>
      <c r="BC10" s="3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</row>
    <row r="11">
      <c r="A11" s="1"/>
      <c r="B11" s="26" t="s">
        <v>17</v>
      </c>
      <c r="C11" s="19"/>
      <c r="D11" s="19"/>
      <c r="E11" s="27" t="s">
        <v>5</v>
      </c>
      <c r="F11" s="19"/>
      <c r="G11" s="19"/>
      <c r="H11" s="20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28"/>
      <c r="AR11" s="29"/>
      <c r="AS11" s="29"/>
      <c r="AT11" s="29"/>
      <c r="AU11" s="29"/>
      <c r="AV11" s="29"/>
      <c r="AW11" s="29"/>
      <c r="AX11" s="30"/>
      <c r="AY11" s="2"/>
      <c r="AZ11" s="3"/>
      <c r="BA11" s="4" t="s">
        <v>18</v>
      </c>
      <c r="BB11" s="3">
        <v>11.0</v>
      </c>
      <c r="BC11" s="3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31">
        <f t="shared" ref="K12:AO12" si="1">IFERROR(K23/K24,0)</f>
        <v>0</v>
      </c>
      <c r="L12" s="31">
        <f t="shared" si="1"/>
        <v>0</v>
      </c>
      <c r="M12" s="31">
        <f t="shared" si="1"/>
        <v>0</v>
      </c>
      <c r="N12" s="31">
        <f t="shared" si="1"/>
        <v>0</v>
      </c>
      <c r="O12" s="31">
        <f t="shared" si="1"/>
        <v>0</v>
      </c>
      <c r="P12" s="31">
        <f t="shared" si="1"/>
        <v>0</v>
      </c>
      <c r="Q12" s="31">
        <f t="shared" si="1"/>
        <v>0</v>
      </c>
      <c r="R12" s="31">
        <f t="shared" si="1"/>
        <v>0</v>
      </c>
      <c r="S12" s="31">
        <f t="shared" si="1"/>
        <v>0</v>
      </c>
      <c r="T12" s="31">
        <f t="shared" si="1"/>
        <v>0</v>
      </c>
      <c r="U12" s="31">
        <f t="shared" si="1"/>
        <v>0</v>
      </c>
      <c r="V12" s="31">
        <f t="shared" si="1"/>
        <v>0</v>
      </c>
      <c r="W12" s="31">
        <f t="shared" si="1"/>
        <v>0</v>
      </c>
      <c r="X12" s="31">
        <f t="shared" si="1"/>
        <v>0</v>
      </c>
      <c r="Y12" s="31">
        <f t="shared" si="1"/>
        <v>0</v>
      </c>
      <c r="Z12" s="31">
        <f t="shared" si="1"/>
        <v>0</v>
      </c>
      <c r="AA12" s="31">
        <f t="shared" si="1"/>
        <v>0</v>
      </c>
      <c r="AB12" s="31">
        <f t="shared" si="1"/>
        <v>0</v>
      </c>
      <c r="AC12" s="31">
        <f t="shared" si="1"/>
        <v>0</v>
      </c>
      <c r="AD12" s="31">
        <f t="shared" si="1"/>
        <v>0</v>
      </c>
      <c r="AE12" s="31">
        <f t="shared" si="1"/>
        <v>0</v>
      </c>
      <c r="AF12" s="31">
        <f t="shared" si="1"/>
        <v>0</v>
      </c>
      <c r="AG12" s="31">
        <f t="shared" si="1"/>
        <v>0</v>
      </c>
      <c r="AH12" s="31">
        <f t="shared" si="1"/>
        <v>0</v>
      </c>
      <c r="AI12" s="31">
        <f t="shared" si="1"/>
        <v>0</v>
      </c>
      <c r="AJ12" s="31">
        <f t="shared" si="1"/>
        <v>0</v>
      </c>
      <c r="AK12" s="31">
        <f t="shared" si="1"/>
        <v>0</v>
      </c>
      <c r="AL12" s="31">
        <f t="shared" si="1"/>
        <v>0</v>
      </c>
      <c r="AM12" s="31">
        <f t="shared" si="1"/>
        <v>0</v>
      </c>
      <c r="AN12" s="31">
        <f t="shared" si="1"/>
        <v>0</v>
      </c>
      <c r="AO12" s="31">
        <f t="shared" si="1"/>
        <v>0</v>
      </c>
      <c r="AP12" s="1"/>
      <c r="AQ12" s="1"/>
      <c r="AR12" s="1"/>
      <c r="AS12" s="1"/>
      <c r="AT12" s="1"/>
      <c r="AU12" s="1"/>
      <c r="AV12" s="1"/>
      <c r="AW12" s="1"/>
      <c r="AX12" s="1"/>
      <c r="AY12" s="2"/>
      <c r="AZ12" s="3"/>
      <c r="BA12" s="4" t="s">
        <v>19</v>
      </c>
      <c r="BB12" s="3">
        <v>12.0</v>
      </c>
      <c r="BC12" s="3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</row>
    <row r="13">
      <c r="A13" s="1"/>
      <c r="B13" s="5" t="s">
        <v>20</v>
      </c>
      <c r="C13" s="6"/>
      <c r="D13" s="6"/>
      <c r="E13" s="6"/>
      <c r="F13" s="6"/>
      <c r="G13" s="6"/>
      <c r="H13" s="6"/>
      <c r="I13" s="6"/>
      <c r="J13" s="6"/>
      <c r="K13" s="32" t="s">
        <v>21</v>
      </c>
      <c r="L13" s="6"/>
      <c r="M13" s="6"/>
      <c r="N13" s="6"/>
      <c r="O13" s="6"/>
      <c r="P13" s="6"/>
      <c r="Q13" s="6"/>
      <c r="R13" s="33" t="s">
        <v>22</v>
      </c>
      <c r="S13" s="6"/>
      <c r="T13" s="6"/>
      <c r="U13" s="6"/>
      <c r="V13" s="6"/>
      <c r="W13" s="6"/>
      <c r="X13" s="6"/>
      <c r="Y13" s="34" t="s">
        <v>23</v>
      </c>
      <c r="Z13" s="6"/>
      <c r="AA13" s="6"/>
      <c r="AB13" s="6"/>
      <c r="AC13" s="6"/>
      <c r="AD13" s="6"/>
      <c r="AE13" s="6"/>
      <c r="AF13" s="35" t="s">
        <v>24</v>
      </c>
      <c r="AG13" s="6"/>
      <c r="AH13" s="6"/>
      <c r="AI13" s="6"/>
      <c r="AJ13" s="6"/>
      <c r="AK13" s="6"/>
      <c r="AL13" s="6"/>
      <c r="AM13" s="36" t="s">
        <v>25</v>
      </c>
      <c r="AN13" s="6"/>
      <c r="AO13" s="7"/>
      <c r="AP13" s="1"/>
      <c r="AQ13" s="8" t="s">
        <v>26</v>
      </c>
      <c r="AR13" s="6"/>
      <c r="AS13" s="6"/>
      <c r="AT13" s="6"/>
      <c r="AU13" s="6"/>
      <c r="AV13" s="6"/>
      <c r="AW13" s="6"/>
      <c r="AX13" s="7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</row>
    <row r="14">
      <c r="A14" s="1"/>
      <c r="B14" s="10"/>
      <c r="AO14" s="11"/>
      <c r="AP14" s="1"/>
      <c r="AQ14" s="10"/>
      <c r="AX14" s="11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</row>
    <row r="15">
      <c r="A15" s="1"/>
      <c r="B15" s="10"/>
      <c r="K15" s="37">
        <f t="shared" ref="K15:AO15" si="2">K16</f>
        <v>46082</v>
      </c>
      <c r="L15" s="37">
        <f t="shared" si="2"/>
        <v>46083</v>
      </c>
      <c r="M15" s="37">
        <f t="shared" si="2"/>
        <v>46084</v>
      </c>
      <c r="N15" s="37">
        <f t="shared" si="2"/>
        <v>46085</v>
      </c>
      <c r="O15" s="37">
        <f t="shared" si="2"/>
        <v>46086</v>
      </c>
      <c r="P15" s="37">
        <f t="shared" si="2"/>
        <v>46087</v>
      </c>
      <c r="Q15" s="37">
        <f t="shared" si="2"/>
        <v>46088</v>
      </c>
      <c r="R15" s="37">
        <f t="shared" si="2"/>
        <v>46089</v>
      </c>
      <c r="S15" s="37">
        <f t="shared" si="2"/>
        <v>46090</v>
      </c>
      <c r="T15" s="37">
        <f t="shared" si="2"/>
        <v>46091</v>
      </c>
      <c r="U15" s="37">
        <f t="shared" si="2"/>
        <v>46092</v>
      </c>
      <c r="V15" s="37">
        <f t="shared" si="2"/>
        <v>46093</v>
      </c>
      <c r="W15" s="37">
        <f t="shared" si="2"/>
        <v>46094</v>
      </c>
      <c r="X15" s="37">
        <f t="shared" si="2"/>
        <v>46095</v>
      </c>
      <c r="Y15" s="37">
        <f t="shared" si="2"/>
        <v>46096</v>
      </c>
      <c r="Z15" s="37">
        <f t="shared" si="2"/>
        <v>46097</v>
      </c>
      <c r="AA15" s="37">
        <f t="shared" si="2"/>
        <v>46098</v>
      </c>
      <c r="AB15" s="37">
        <f t="shared" si="2"/>
        <v>46099</v>
      </c>
      <c r="AC15" s="37">
        <f t="shared" si="2"/>
        <v>46100</v>
      </c>
      <c r="AD15" s="37">
        <f t="shared" si="2"/>
        <v>46101</v>
      </c>
      <c r="AE15" s="37">
        <f t="shared" si="2"/>
        <v>46102</v>
      </c>
      <c r="AF15" s="37">
        <f t="shared" si="2"/>
        <v>46103</v>
      </c>
      <c r="AG15" s="37">
        <f t="shared" si="2"/>
        <v>46104</v>
      </c>
      <c r="AH15" s="37">
        <f t="shared" si="2"/>
        <v>46105</v>
      </c>
      <c r="AI15" s="37">
        <f t="shared" si="2"/>
        <v>46106</v>
      </c>
      <c r="AJ15" s="37">
        <f t="shared" si="2"/>
        <v>46107</v>
      </c>
      <c r="AK15" s="37">
        <f t="shared" si="2"/>
        <v>46108</v>
      </c>
      <c r="AL15" s="37">
        <f t="shared" si="2"/>
        <v>46109</v>
      </c>
      <c r="AM15" s="37">
        <f t="shared" si="2"/>
        <v>46110</v>
      </c>
      <c r="AN15" s="37">
        <f t="shared" si="2"/>
        <v>46111</v>
      </c>
      <c r="AO15" s="38">
        <f t="shared" si="2"/>
        <v>46112</v>
      </c>
      <c r="AP15" s="1"/>
      <c r="AQ15" s="10"/>
      <c r="AX15" s="11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</row>
    <row r="16">
      <c r="A16" s="1"/>
      <c r="B16" s="39"/>
      <c r="C16" s="40"/>
      <c r="D16" s="40"/>
      <c r="E16" s="40"/>
      <c r="F16" s="40"/>
      <c r="G16" s="40"/>
      <c r="H16" s="40"/>
      <c r="I16" s="40"/>
      <c r="J16" s="40"/>
      <c r="K16" s="41">
        <f>K33</f>
        <v>46082</v>
      </c>
      <c r="L16" s="41">
        <f t="shared" ref="L16:AO16" si="3">IF(MONTH(K16+1)=MONTH($K$33),K16+1,"")</f>
        <v>46083</v>
      </c>
      <c r="M16" s="41">
        <f t="shared" si="3"/>
        <v>46084</v>
      </c>
      <c r="N16" s="41">
        <f t="shared" si="3"/>
        <v>46085</v>
      </c>
      <c r="O16" s="41">
        <f t="shared" si="3"/>
        <v>46086</v>
      </c>
      <c r="P16" s="41">
        <f t="shared" si="3"/>
        <v>46087</v>
      </c>
      <c r="Q16" s="41">
        <f t="shared" si="3"/>
        <v>46088</v>
      </c>
      <c r="R16" s="41">
        <f t="shared" si="3"/>
        <v>46089</v>
      </c>
      <c r="S16" s="41">
        <f t="shared" si="3"/>
        <v>46090</v>
      </c>
      <c r="T16" s="41">
        <f t="shared" si="3"/>
        <v>46091</v>
      </c>
      <c r="U16" s="41">
        <f t="shared" si="3"/>
        <v>46092</v>
      </c>
      <c r="V16" s="41">
        <f t="shared" si="3"/>
        <v>46093</v>
      </c>
      <c r="W16" s="41">
        <f t="shared" si="3"/>
        <v>46094</v>
      </c>
      <c r="X16" s="41">
        <f t="shared" si="3"/>
        <v>46095</v>
      </c>
      <c r="Y16" s="41">
        <f t="shared" si="3"/>
        <v>46096</v>
      </c>
      <c r="Z16" s="41">
        <f t="shared" si="3"/>
        <v>46097</v>
      </c>
      <c r="AA16" s="41">
        <f t="shared" si="3"/>
        <v>46098</v>
      </c>
      <c r="AB16" s="41">
        <f t="shared" si="3"/>
        <v>46099</v>
      </c>
      <c r="AC16" s="41">
        <f t="shared" si="3"/>
        <v>46100</v>
      </c>
      <c r="AD16" s="41">
        <f t="shared" si="3"/>
        <v>46101</v>
      </c>
      <c r="AE16" s="41">
        <f t="shared" si="3"/>
        <v>46102</v>
      </c>
      <c r="AF16" s="41">
        <f t="shared" si="3"/>
        <v>46103</v>
      </c>
      <c r="AG16" s="41">
        <f t="shared" si="3"/>
        <v>46104</v>
      </c>
      <c r="AH16" s="41">
        <f t="shared" si="3"/>
        <v>46105</v>
      </c>
      <c r="AI16" s="41">
        <f t="shared" si="3"/>
        <v>46106</v>
      </c>
      <c r="AJ16" s="41">
        <f t="shared" si="3"/>
        <v>46107</v>
      </c>
      <c r="AK16" s="41">
        <f t="shared" si="3"/>
        <v>46108</v>
      </c>
      <c r="AL16" s="41">
        <f t="shared" si="3"/>
        <v>46109</v>
      </c>
      <c r="AM16" s="41">
        <f t="shared" si="3"/>
        <v>46110</v>
      </c>
      <c r="AN16" s="41">
        <f t="shared" si="3"/>
        <v>46111</v>
      </c>
      <c r="AO16" s="42">
        <f t="shared" si="3"/>
        <v>46112</v>
      </c>
      <c r="AP16" s="1"/>
      <c r="AQ16" s="43"/>
      <c r="AR16" s="44"/>
      <c r="AS16" s="44"/>
      <c r="AT16" s="44"/>
      <c r="AU16" s="44"/>
      <c r="AV16" s="44"/>
      <c r="AW16" s="44"/>
      <c r="AX16" s="45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</row>
    <row r="17">
      <c r="A17" s="1"/>
      <c r="B17" s="46"/>
      <c r="K17" s="47" t="str">
        <f>IFERROR(__xludf.DUMMYFUNCTION("SPARKLINE(K23:Q23, {""charttype"", ""column""; ""ymin"", 0; ""ymax"", COUNTIF($B$32:$H$56, ""*""); ""color"", ""#fad5be""})"),"")</f>
        <v/>
      </c>
      <c r="R17" s="47" t="str">
        <f>IFERROR(__xludf.DUMMYFUNCTION("SPARKLINE(R23:X23, {""charttype"", ""column""; ""ymin"", 0; ""ymax"", COUNTIF($B$32:$H$56, ""*""); ""color"", ""#efd2e0""})"),"")</f>
        <v/>
      </c>
      <c r="Y17" s="47" t="str">
        <f>IFERROR(__xludf.DUMMYFUNCTION("SPARKLINE(Y23:AE23, {""charttype"", ""column""; ""ymin"", 0; ""ymax"", COUNTIF($B$32:$H$56, ""*""); ""color"", ""#cae6ed""})"),"")</f>
        <v/>
      </c>
      <c r="AF17" s="47" t="str">
        <f>IFERROR(__xludf.DUMMYFUNCTION("SPARKLINE(AF23:AL23, {""charttype"", ""column""; ""ymin"", 0; ""ymax"", COUNTIF($B$32:$H$56, ""*""); ""color"", ""#fff0c2""})"),"")</f>
        <v/>
      </c>
      <c r="AM17" s="47" t="str">
        <f>IFERROR(__xludf.DUMMYFUNCTION("SPARKLINE(AM23:AQ23, {""charttype"", ""column""; ""ymin"", 0; ""ymax"", COUNTIF($B$32:$H$56, ""*""); ""color"", ""#fad5be""})"),"")</f>
        <v/>
      </c>
      <c r="AO17" s="11"/>
      <c r="AP17" s="1"/>
      <c r="AQ17" s="48">
        <v>1.0</v>
      </c>
      <c r="AR17" s="49" t="str">
        <f t="array" ref="AR17:AW23">SORT(C34:H40,AS34:AS40,FALSE)</f>
        <v>Reading</v>
      </c>
      <c r="AS17" s="50"/>
      <c r="AT17" s="50"/>
      <c r="AU17" s="50"/>
      <c r="AV17" s="50"/>
      <c r="AW17" s="50"/>
      <c r="AX17" s="51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</row>
    <row r="18">
      <c r="A18" s="1"/>
      <c r="B18" s="10"/>
      <c r="AO18" s="11"/>
      <c r="AP18" s="1"/>
      <c r="AQ18" s="52">
        <v>2.0</v>
      </c>
      <c r="AR18" s="53" t="s">
        <v>27</v>
      </c>
      <c r="AS18" s="54"/>
      <c r="AT18" s="54"/>
      <c r="AU18" s="54"/>
      <c r="AV18" s="54"/>
      <c r="AW18" s="54"/>
      <c r="AX18" s="55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</row>
    <row r="19">
      <c r="A19" s="1"/>
      <c r="B19" s="10"/>
      <c r="AO19" s="11"/>
      <c r="AP19" s="1"/>
      <c r="AQ19" s="52">
        <v>3.0</v>
      </c>
      <c r="AR19" s="53" t="s">
        <v>28</v>
      </c>
      <c r="AS19" s="54"/>
      <c r="AT19" s="54"/>
      <c r="AU19" s="54"/>
      <c r="AV19" s="54"/>
      <c r="AW19" s="54"/>
      <c r="AX19" s="55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</row>
    <row r="20">
      <c r="A20" s="1"/>
      <c r="B20" s="10"/>
      <c r="AO20" s="11"/>
      <c r="AP20" s="1"/>
      <c r="AQ20" s="52">
        <v>4.0</v>
      </c>
      <c r="AR20" s="53" t="s">
        <v>29</v>
      </c>
      <c r="AS20" s="54"/>
      <c r="AT20" s="54"/>
      <c r="AU20" s="54"/>
      <c r="AV20" s="54"/>
      <c r="AW20" s="54"/>
      <c r="AX20" s="55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</row>
    <row r="21">
      <c r="A21" s="1"/>
      <c r="B21" s="10"/>
      <c r="AO21" s="11"/>
      <c r="AP21" s="1"/>
      <c r="AQ21" s="52">
        <v>5.0</v>
      </c>
      <c r="AR21" s="53" t="s">
        <v>30</v>
      </c>
      <c r="AS21" s="54"/>
      <c r="AT21" s="54"/>
      <c r="AU21" s="54"/>
      <c r="AV21" s="54"/>
      <c r="AW21" s="54"/>
      <c r="AX21" s="55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</row>
    <row r="22">
      <c r="A22" s="1"/>
      <c r="B22" s="10"/>
      <c r="AO22" s="11"/>
      <c r="AP22" s="1"/>
      <c r="AQ22" s="52">
        <v>6.0</v>
      </c>
      <c r="AR22" s="53" t="s">
        <v>31</v>
      </c>
      <c r="AS22" s="54"/>
      <c r="AT22" s="54"/>
      <c r="AU22" s="54"/>
      <c r="AV22" s="54"/>
      <c r="AW22" s="54"/>
      <c r="AX22" s="55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</row>
    <row r="23">
      <c r="A23" s="1"/>
      <c r="B23" s="56" t="s">
        <v>32</v>
      </c>
      <c r="C23" s="57"/>
      <c r="D23" s="57"/>
      <c r="E23" s="57"/>
      <c r="F23" s="57"/>
      <c r="G23" s="57"/>
      <c r="H23" s="57"/>
      <c r="I23" s="57"/>
      <c r="J23" s="58"/>
      <c r="K23" s="59">
        <f t="shared" ref="K23:AO23" si="4">IF(K16="","",COUNTIF(K34:K40, TRUE))</f>
        <v>0</v>
      </c>
      <c r="L23" s="60">
        <f t="shared" si="4"/>
        <v>0</v>
      </c>
      <c r="M23" s="60">
        <f t="shared" si="4"/>
        <v>0</v>
      </c>
      <c r="N23" s="60">
        <f t="shared" si="4"/>
        <v>0</v>
      </c>
      <c r="O23" s="60">
        <f t="shared" si="4"/>
        <v>0</v>
      </c>
      <c r="P23" s="60">
        <f t="shared" si="4"/>
        <v>0</v>
      </c>
      <c r="Q23" s="61">
        <f t="shared" si="4"/>
        <v>0</v>
      </c>
      <c r="R23" s="62">
        <f t="shared" si="4"/>
        <v>0</v>
      </c>
      <c r="S23" s="60">
        <f t="shared" si="4"/>
        <v>0</v>
      </c>
      <c r="T23" s="60">
        <f t="shared" si="4"/>
        <v>0</v>
      </c>
      <c r="U23" s="60">
        <f t="shared" si="4"/>
        <v>0</v>
      </c>
      <c r="V23" s="60">
        <f t="shared" si="4"/>
        <v>0</v>
      </c>
      <c r="W23" s="60">
        <f t="shared" si="4"/>
        <v>0</v>
      </c>
      <c r="X23" s="63">
        <f t="shared" si="4"/>
        <v>0</v>
      </c>
      <c r="Y23" s="59">
        <f t="shared" si="4"/>
        <v>0</v>
      </c>
      <c r="Z23" s="60">
        <f t="shared" si="4"/>
        <v>0</v>
      </c>
      <c r="AA23" s="60">
        <f t="shared" si="4"/>
        <v>0</v>
      </c>
      <c r="AB23" s="60">
        <f t="shared" si="4"/>
        <v>0</v>
      </c>
      <c r="AC23" s="60">
        <f t="shared" si="4"/>
        <v>0</v>
      </c>
      <c r="AD23" s="60">
        <f t="shared" si="4"/>
        <v>0</v>
      </c>
      <c r="AE23" s="61">
        <f t="shared" si="4"/>
        <v>0</v>
      </c>
      <c r="AF23" s="62">
        <f t="shared" si="4"/>
        <v>0</v>
      </c>
      <c r="AG23" s="60">
        <f t="shared" si="4"/>
        <v>0</v>
      </c>
      <c r="AH23" s="60">
        <f t="shared" si="4"/>
        <v>0</v>
      </c>
      <c r="AI23" s="60">
        <f t="shared" si="4"/>
        <v>0</v>
      </c>
      <c r="AJ23" s="60">
        <f t="shared" si="4"/>
        <v>0</v>
      </c>
      <c r="AK23" s="60">
        <f t="shared" si="4"/>
        <v>0</v>
      </c>
      <c r="AL23" s="63">
        <f t="shared" si="4"/>
        <v>0</v>
      </c>
      <c r="AM23" s="59">
        <f t="shared" si="4"/>
        <v>0</v>
      </c>
      <c r="AN23" s="60">
        <f t="shared" si="4"/>
        <v>0</v>
      </c>
      <c r="AO23" s="64">
        <f t="shared" si="4"/>
        <v>0</v>
      </c>
      <c r="AP23" s="1"/>
      <c r="AQ23" s="52">
        <v>7.0</v>
      </c>
      <c r="AR23" s="53" t="s">
        <v>33</v>
      </c>
      <c r="AS23" s="54"/>
      <c r="AT23" s="54"/>
      <c r="AU23" s="54"/>
      <c r="AV23" s="54"/>
      <c r="AW23" s="54"/>
      <c r="AX23" s="55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</row>
    <row r="24">
      <c r="A24" s="1"/>
      <c r="B24" s="65" t="s">
        <v>34</v>
      </c>
      <c r="C24" s="66"/>
      <c r="D24" s="66"/>
      <c r="E24" s="66"/>
      <c r="F24" s="66"/>
      <c r="G24" s="66"/>
      <c r="H24" s="66"/>
      <c r="I24" s="66"/>
      <c r="J24" s="67"/>
      <c r="K24" s="68">
        <f t="shared" ref="K24:AO24" si="5">IF(K16="","",COUNTIF($C$34:$H$40,"*"))</f>
        <v>7</v>
      </c>
      <c r="L24" s="69">
        <f t="shared" si="5"/>
        <v>7</v>
      </c>
      <c r="M24" s="69">
        <f t="shared" si="5"/>
        <v>7</v>
      </c>
      <c r="N24" s="69">
        <f t="shared" si="5"/>
        <v>7</v>
      </c>
      <c r="O24" s="69">
        <f t="shared" si="5"/>
        <v>7</v>
      </c>
      <c r="P24" s="69">
        <f t="shared" si="5"/>
        <v>7</v>
      </c>
      <c r="Q24" s="70">
        <f t="shared" si="5"/>
        <v>7</v>
      </c>
      <c r="R24" s="71">
        <f t="shared" si="5"/>
        <v>7</v>
      </c>
      <c r="S24" s="69">
        <f t="shared" si="5"/>
        <v>7</v>
      </c>
      <c r="T24" s="69">
        <f t="shared" si="5"/>
        <v>7</v>
      </c>
      <c r="U24" s="69">
        <f t="shared" si="5"/>
        <v>7</v>
      </c>
      <c r="V24" s="69">
        <f t="shared" si="5"/>
        <v>7</v>
      </c>
      <c r="W24" s="69">
        <f t="shared" si="5"/>
        <v>7</v>
      </c>
      <c r="X24" s="72">
        <f t="shared" si="5"/>
        <v>7</v>
      </c>
      <c r="Y24" s="68">
        <f t="shared" si="5"/>
        <v>7</v>
      </c>
      <c r="Z24" s="69">
        <f t="shared" si="5"/>
        <v>7</v>
      </c>
      <c r="AA24" s="69">
        <f t="shared" si="5"/>
        <v>7</v>
      </c>
      <c r="AB24" s="69">
        <f t="shared" si="5"/>
        <v>7</v>
      </c>
      <c r="AC24" s="69">
        <f t="shared" si="5"/>
        <v>7</v>
      </c>
      <c r="AD24" s="69">
        <f t="shared" si="5"/>
        <v>7</v>
      </c>
      <c r="AE24" s="70">
        <f t="shared" si="5"/>
        <v>7</v>
      </c>
      <c r="AF24" s="71">
        <f t="shared" si="5"/>
        <v>7</v>
      </c>
      <c r="AG24" s="69">
        <f t="shared" si="5"/>
        <v>7</v>
      </c>
      <c r="AH24" s="69">
        <f t="shared" si="5"/>
        <v>7</v>
      </c>
      <c r="AI24" s="69">
        <f t="shared" si="5"/>
        <v>7</v>
      </c>
      <c r="AJ24" s="69">
        <f t="shared" si="5"/>
        <v>7</v>
      </c>
      <c r="AK24" s="69">
        <f t="shared" si="5"/>
        <v>7</v>
      </c>
      <c r="AL24" s="72">
        <f t="shared" si="5"/>
        <v>7</v>
      </c>
      <c r="AM24" s="68">
        <f t="shared" si="5"/>
        <v>7</v>
      </c>
      <c r="AN24" s="69">
        <f t="shared" si="5"/>
        <v>7</v>
      </c>
      <c r="AO24" s="73">
        <f t="shared" si="5"/>
        <v>7</v>
      </c>
      <c r="AP24" s="1"/>
      <c r="AQ24" s="52">
        <v>8.0</v>
      </c>
      <c r="AR24" s="53"/>
      <c r="AS24" s="54"/>
      <c r="AT24" s="54"/>
      <c r="AU24" s="54"/>
      <c r="AV24" s="54"/>
      <c r="AW24" s="54"/>
      <c r="AX24" s="55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</row>
    <row r="25">
      <c r="A25" s="1"/>
      <c r="B25" s="65" t="s">
        <v>35</v>
      </c>
      <c r="C25" s="66"/>
      <c r="D25" s="66"/>
      <c r="E25" s="66"/>
      <c r="F25" s="66"/>
      <c r="G25" s="66"/>
      <c r="H25" s="66"/>
      <c r="I25" s="66"/>
      <c r="J25" s="67"/>
      <c r="K25" s="68">
        <f t="shared" ref="K25:AO25" si="6">IF(K16="","",K24-K23)</f>
        <v>7</v>
      </c>
      <c r="L25" s="69">
        <f t="shared" si="6"/>
        <v>7</v>
      </c>
      <c r="M25" s="69">
        <f t="shared" si="6"/>
        <v>7</v>
      </c>
      <c r="N25" s="69">
        <f t="shared" si="6"/>
        <v>7</v>
      </c>
      <c r="O25" s="69">
        <f t="shared" si="6"/>
        <v>7</v>
      </c>
      <c r="P25" s="69">
        <f t="shared" si="6"/>
        <v>7</v>
      </c>
      <c r="Q25" s="70">
        <f t="shared" si="6"/>
        <v>7</v>
      </c>
      <c r="R25" s="71">
        <f t="shared" si="6"/>
        <v>7</v>
      </c>
      <c r="S25" s="69">
        <f t="shared" si="6"/>
        <v>7</v>
      </c>
      <c r="T25" s="69">
        <f t="shared" si="6"/>
        <v>7</v>
      </c>
      <c r="U25" s="69">
        <f t="shared" si="6"/>
        <v>7</v>
      </c>
      <c r="V25" s="69">
        <f t="shared" si="6"/>
        <v>7</v>
      </c>
      <c r="W25" s="69">
        <f t="shared" si="6"/>
        <v>7</v>
      </c>
      <c r="X25" s="72">
        <f t="shared" si="6"/>
        <v>7</v>
      </c>
      <c r="Y25" s="68">
        <f t="shared" si="6"/>
        <v>7</v>
      </c>
      <c r="Z25" s="69">
        <f t="shared" si="6"/>
        <v>7</v>
      </c>
      <c r="AA25" s="69">
        <f t="shared" si="6"/>
        <v>7</v>
      </c>
      <c r="AB25" s="69">
        <f t="shared" si="6"/>
        <v>7</v>
      </c>
      <c r="AC25" s="69">
        <f t="shared" si="6"/>
        <v>7</v>
      </c>
      <c r="AD25" s="69">
        <f t="shared" si="6"/>
        <v>7</v>
      </c>
      <c r="AE25" s="70">
        <f t="shared" si="6"/>
        <v>7</v>
      </c>
      <c r="AF25" s="71">
        <f t="shared" si="6"/>
        <v>7</v>
      </c>
      <c r="AG25" s="69">
        <f t="shared" si="6"/>
        <v>7</v>
      </c>
      <c r="AH25" s="69">
        <f t="shared" si="6"/>
        <v>7</v>
      </c>
      <c r="AI25" s="69">
        <f t="shared" si="6"/>
        <v>7</v>
      </c>
      <c r="AJ25" s="69">
        <f t="shared" si="6"/>
        <v>7</v>
      </c>
      <c r="AK25" s="69">
        <f t="shared" si="6"/>
        <v>7</v>
      </c>
      <c r="AL25" s="72">
        <f t="shared" si="6"/>
        <v>7</v>
      </c>
      <c r="AM25" s="68">
        <f t="shared" si="6"/>
        <v>7</v>
      </c>
      <c r="AN25" s="69">
        <f t="shared" si="6"/>
        <v>7</v>
      </c>
      <c r="AO25" s="73">
        <f t="shared" si="6"/>
        <v>7</v>
      </c>
      <c r="AP25" s="1"/>
      <c r="AQ25" s="52">
        <v>9.0</v>
      </c>
      <c r="AR25" s="53"/>
      <c r="AS25" s="54"/>
      <c r="AT25" s="54"/>
      <c r="AU25" s="54"/>
      <c r="AV25" s="54"/>
      <c r="AW25" s="54"/>
      <c r="AX25" s="55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</row>
    <row r="26">
      <c r="A26" s="1"/>
      <c r="B26" s="74" t="s">
        <v>36</v>
      </c>
      <c r="C26" s="75"/>
      <c r="D26" s="75"/>
      <c r="E26" s="75"/>
      <c r="F26" s="75"/>
      <c r="G26" s="75"/>
      <c r="H26" s="75"/>
      <c r="I26" s="75"/>
      <c r="J26" s="76"/>
      <c r="K26" s="77" t="str">
        <f>CONCATENATE(SUM(K23:Q23),"/",SUM(K24:Q24))</f>
        <v>0/49</v>
      </c>
      <c r="L26" s="66"/>
      <c r="M26" s="66"/>
      <c r="N26" s="66"/>
      <c r="O26" s="66"/>
      <c r="P26" s="66"/>
      <c r="Q26" s="78"/>
      <c r="R26" s="79" t="str">
        <f>CONCATENATE(SUM(R23:X23),"/",SUM(R24:X24))</f>
        <v>0/49</v>
      </c>
      <c r="S26" s="66"/>
      <c r="T26" s="66"/>
      <c r="U26" s="66"/>
      <c r="V26" s="66"/>
      <c r="W26" s="66"/>
      <c r="X26" s="67"/>
      <c r="Y26" s="77" t="str">
        <f>CONCATENATE(SUM(Y23:AE23),"/",SUM(Y24:AE24))</f>
        <v>0/49</v>
      </c>
      <c r="Z26" s="66"/>
      <c r="AA26" s="66"/>
      <c r="AB26" s="66"/>
      <c r="AC26" s="66"/>
      <c r="AD26" s="66"/>
      <c r="AE26" s="78"/>
      <c r="AF26" s="79" t="str">
        <f>CONCATENATE(SUM(AF23:AL23),"/",SUM(AF24:AL24))</f>
        <v>0/49</v>
      </c>
      <c r="AG26" s="66"/>
      <c r="AH26" s="66"/>
      <c r="AI26" s="66"/>
      <c r="AJ26" s="66"/>
      <c r="AK26" s="66"/>
      <c r="AL26" s="67"/>
      <c r="AM26" s="77" t="str">
        <f>CONCATENATE(SUM(AM23:AO23),"/",SUM(AM24:AO24))</f>
        <v>0/21</v>
      </c>
      <c r="AN26" s="66"/>
      <c r="AO26" s="80"/>
      <c r="AP26" s="1"/>
      <c r="AQ26" s="81">
        <v>10.0</v>
      </c>
      <c r="AR26" s="82"/>
      <c r="AS26" s="83"/>
      <c r="AT26" s="83"/>
      <c r="AU26" s="83"/>
      <c r="AV26" s="83"/>
      <c r="AW26" s="83"/>
      <c r="AX26" s="84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</row>
    <row r="27">
      <c r="A27" s="1"/>
      <c r="B27" s="10"/>
      <c r="J27" s="85"/>
      <c r="K27" s="86">
        <f>SUM(K23:Q23)/SUM(K24:Q24)</f>
        <v>0</v>
      </c>
      <c r="L27" s="66"/>
      <c r="M27" s="66"/>
      <c r="N27" s="66"/>
      <c r="O27" s="66"/>
      <c r="P27" s="66"/>
      <c r="Q27" s="78"/>
      <c r="R27" s="87">
        <f>SUM(R23:X23)/SUM(R24:X24)</f>
        <v>0</v>
      </c>
      <c r="S27" s="66"/>
      <c r="T27" s="66"/>
      <c r="U27" s="66"/>
      <c r="V27" s="66"/>
      <c r="W27" s="66"/>
      <c r="X27" s="67"/>
      <c r="Y27" s="86">
        <f>SUM(Y23:AE23)/SUM(Y24:AE24)</f>
        <v>0</v>
      </c>
      <c r="Z27" s="66"/>
      <c r="AA27" s="66"/>
      <c r="AB27" s="66"/>
      <c r="AC27" s="66"/>
      <c r="AD27" s="66"/>
      <c r="AE27" s="78"/>
      <c r="AF27" s="87">
        <f>SUM(AF23:AL23)/SUM(AF24:AL24)</f>
        <v>0</v>
      </c>
      <c r="AG27" s="66"/>
      <c r="AH27" s="66"/>
      <c r="AI27" s="66"/>
      <c r="AJ27" s="66"/>
      <c r="AK27" s="66"/>
      <c r="AL27" s="67"/>
      <c r="AM27" s="86">
        <f>SUM(AM23:AO23)/SUM(AM24:AO24)</f>
        <v>0</v>
      </c>
      <c r="AN27" s="66"/>
      <c r="AO27" s="80"/>
      <c r="AP27" s="1"/>
      <c r="AQ27" s="88"/>
      <c r="AR27" s="1"/>
      <c r="AS27" s="1"/>
      <c r="AT27" s="1"/>
      <c r="AU27" s="1"/>
      <c r="AV27" s="1"/>
      <c r="AW27" s="1"/>
      <c r="AX27" s="1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</row>
    <row r="28">
      <c r="A28" s="1"/>
      <c r="B28" s="18"/>
      <c r="C28" s="19"/>
      <c r="D28" s="19"/>
      <c r="E28" s="19"/>
      <c r="F28" s="19"/>
      <c r="G28" s="19"/>
      <c r="H28" s="19"/>
      <c r="I28" s="19"/>
      <c r="J28" s="89"/>
      <c r="K28" s="90" t="str">
        <f>IFERROR(__xludf.DUMMYFUNCTION("SPARKLINE(K27,{""charttype"",""bar"";""max"",1;""color1"",""#fad5be""})"),"")</f>
        <v/>
      </c>
      <c r="L28" s="91"/>
      <c r="M28" s="91"/>
      <c r="N28" s="91"/>
      <c r="O28" s="91"/>
      <c r="P28" s="91"/>
      <c r="Q28" s="92"/>
      <c r="R28" s="93" t="str">
        <f>IFERROR(__xludf.DUMMYFUNCTION("SPARKLINE(R27,{""charttype"",""bar"";""max"",1;""color1"",""#fad5be""})"),"")</f>
        <v/>
      </c>
      <c r="S28" s="91"/>
      <c r="T28" s="91"/>
      <c r="U28" s="91"/>
      <c r="V28" s="91"/>
      <c r="W28" s="91"/>
      <c r="X28" s="94"/>
      <c r="Y28" s="90" t="str">
        <f>IFERROR(__xludf.DUMMYFUNCTION("SPARKLINE(Y27,{""charttype"",""bar"";""max"",1;""color1"",""#fad5be""})"),"")</f>
        <v/>
      </c>
      <c r="Z28" s="91"/>
      <c r="AA28" s="91"/>
      <c r="AB28" s="91"/>
      <c r="AC28" s="91"/>
      <c r="AD28" s="91"/>
      <c r="AE28" s="92"/>
      <c r="AF28" s="93" t="str">
        <f>IFERROR(__xludf.DUMMYFUNCTION("SPARKLINE(AF27,{""charttype"",""bar"";""max"",1;""color1"",""#fad5be""})"),"")</f>
        <v/>
      </c>
      <c r="AG28" s="91"/>
      <c r="AH28" s="91"/>
      <c r="AI28" s="91"/>
      <c r="AJ28" s="91"/>
      <c r="AK28" s="91"/>
      <c r="AL28" s="94"/>
      <c r="AM28" s="90" t="str">
        <f>IFERROR(__xludf.DUMMYFUNCTION("SPARKLINE(AM27,{""charttype"",""bar"";""max"",1;""color1"",""#fad5be""})"),"")</f>
        <v/>
      </c>
      <c r="AN28" s="91"/>
      <c r="AO28" s="95"/>
      <c r="AP28" s="1"/>
      <c r="AQ28" s="1"/>
      <c r="AR28" s="1"/>
      <c r="AS28" s="1"/>
      <c r="AT28" s="1"/>
      <c r="AU28" s="1"/>
      <c r="AV28" s="1"/>
      <c r="AW28" s="1"/>
      <c r="AX28" s="1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</row>
    <row r="30">
      <c r="A30" s="1"/>
      <c r="B30" s="96" t="s">
        <v>37</v>
      </c>
      <c r="C30" s="6"/>
      <c r="D30" s="6"/>
      <c r="E30" s="6"/>
      <c r="F30" s="6"/>
      <c r="G30" s="6"/>
      <c r="H30" s="6"/>
      <c r="I30" s="97" t="s">
        <v>38</v>
      </c>
      <c r="J30" s="6"/>
      <c r="K30" s="98" t="s">
        <v>21</v>
      </c>
      <c r="L30" s="6"/>
      <c r="M30" s="6"/>
      <c r="N30" s="6"/>
      <c r="O30" s="6"/>
      <c r="P30" s="6"/>
      <c r="Q30" s="99"/>
      <c r="R30" s="33" t="s">
        <v>22</v>
      </c>
      <c r="S30" s="6"/>
      <c r="T30" s="6"/>
      <c r="U30" s="6"/>
      <c r="V30" s="6"/>
      <c r="W30" s="6"/>
      <c r="X30" s="6"/>
      <c r="Y30" s="100" t="s">
        <v>23</v>
      </c>
      <c r="Z30" s="6"/>
      <c r="AA30" s="6"/>
      <c r="AB30" s="6"/>
      <c r="AC30" s="6"/>
      <c r="AD30" s="6"/>
      <c r="AE30" s="99"/>
      <c r="AF30" s="35" t="s">
        <v>24</v>
      </c>
      <c r="AG30" s="6"/>
      <c r="AH30" s="6"/>
      <c r="AI30" s="6"/>
      <c r="AJ30" s="6"/>
      <c r="AK30" s="6"/>
      <c r="AL30" s="6"/>
      <c r="AM30" s="101" t="s">
        <v>25</v>
      </c>
      <c r="AN30" s="6"/>
      <c r="AO30" s="7"/>
      <c r="AP30" s="102"/>
      <c r="AQ30" s="103" t="s">
        <v>32</v>
      </c>
      <c r="AR30" s="104" t="s">
        <v>35</v>
      </c>
      <c r="AS30" s="105"/>
      <c r="AT30" s="106" t="s">
        <v>39</v>
      </c>
      <c r="AU30" s="23"/>
      <c r="AV30" s="23"/>
      <c r="AW30" s="23"/>
      <c r="AX30" s="107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</row>
    <row r="31">
      <c r="A31" s="1"/>
      <c r="B31" s="10"/>
      <c r="K31" s="108"/>
      <c r="Q31" s="85"/>
      <c r="Y31" s="108"/>
      <c r="AE31" s="85"/>
      <c r="AM31" s="108"/>
      <c r="AO31" s="11"/>
      <c r="AP31" s="102"/>
      <c r="AQ31" s="109"/>
      <c r="AR31" s="110"/>
      <c r="AS31" s="111"/>
      <c r="AT31" s="112" t="str">
        <f>IFERROR(__xludf.DUMMYFUNCTION("IF(B34="""","""",SPARKLINE(AS33,{""charttype"",""bar"";""max"",1;""color1"",""#fad5be""}))"),"")</f>
        <v/>
      </c>
      <c r="AX31" s="113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</row>
    <row r="32">
      <c r="A32" s="1"/>
      <c r="B32" s="10"/>
      <c r="K32" s="114">
        <f t="shared" ref="K32:AO32" si="7">K33</f>
        <v>46082</v>
      </c>
      <c r="L32" s="115">
        <f t="shared" si="7"/>
        <v>46083</v>
      </c>
      <c r="M32" s="115">
        <f t="shared" si="7"/>
        <v>46084</v>
      </c>
      <c r="N32" s="115">
        <f t="shared" si="7"/>
        <v>46085</v>
      </c>
      <c r="O32" s="115">
        <f t="shared" si="7"/>
        <v>46086</v>
      </c>
      <c r="P32" s="115">
        <f t="shared" si="7"/>
        <v>46087</v>
      </c>
      <c r="Q32" s="116">
        <f t="shared" si="7"/>
        <v>46088</v>
      </c>
      <c r="R32" s="117">
        <f t="shared" si="7"/>
        <v>46089</v>
      </c>
      <c r="S32" s="117">
        <f t="shared" si="7"/>
        <v>46090</v>
      </c>
      <c r="T32" s="117">
        <f t="shared" si="7"/>
        <v>46091</v>
      </c>
      <c r="U32" s="117">
        <f t="shared" si="7"/>
        <v>46092</v>
      </c>
      <c r="V32" s="117">
        <f t="shared" si="7"/>
        <v>46093</v>
      </c>
      <c r="W32" s="117">
        <f t="shared" si="7"/>
        <v>46094</v>
      </c>
      <c r="X32" s="117">
        <f t="shared" si="7"/>
        <v>46095</v>
      </c>
      <c r="Y32" s="118">
        <f t="shared" si="7"/>
        <v>46096</v>
      </c>
      <c r="Z32" s="119">
        <f t="shared" si="7"/>
        <v>46097</v>
      </c>
      <c r="AA32" s="119">
        <f t="shared" si="7"/>
        <v>46098</v>
      </c>
      <c r="AB32" s="119">
        <f t="shared" si="7"/>
        <v>46099</v>
      </c>
      <c r="AC32" s="119">
        <f t="shared" si="7"/>
        <v>46100</v>
      </c>
      <c r="AD32" s="119">
        <f t="shared" si="7"/>
        <v>46101</v>
      </c>
      <c r="AE32" s="120">
        <f t="shared" si="7"/>
        <v>46102</v>
      </c>
      <c r="AF32" s="121">
        <f t="shared" si="7"/>
        <v>46103</v>
      </c>
      <c r="AG32" s="121">
        <f t="shared" si="7"/>
        <v>46104</v>
      </c>
      <c r="AH32" s="121">
        <f t="shared" si="7"/>
        <v>46105</v>
      </c>
      <c r="AI32" s="121">
        <f t="shared" si="7"/>
        <v>46106</v>
      </c>
      <c r="AJ32" s="121">
        <f t="shared" si="7"/>
        <v>46107</v>
      </c>
      <c r="AK32" s="121">
        <f t="shared" si="7"/>
        <v>46108</v>
      </c>
      <c r="AL32" s="121">
        <f t="shared" si="7"/>
        <v>46109</v>
      </c>
      <c r="AM32" s="122">
        <f t="shared" si="7"/>
        <v>46110</v>
      </c>
      <c r="AN32" s="123">
        <f t="shared" si="7"/>
        <v>46111</v>
      </c>
      <c r="AO32" s="124">
        <f t="shared" si="7"/>
        <v>46112</v>
      </c>
      <c r="AP32" s="1"/>
      <c r="AQ32" s="109"/>
      <c r="AR32" s="110"/>
      <c r="AS32" s="111"/>
      <c r="AX32" s="113"/>
      <c r="AY32" s="2"/>
      <c r="AZ32" s="125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</row>
    <row r="33">
      <c r="A33" s="1"/>
      <c r="B33" s="10"/>
      <c r="K33" s="126">
        <f>DATE(E10,VLOOKUP(E11,BA1:BB12,2,FALSE),1)</f>
        <v>46082</v>
      </c>
      <c r="L33" s="127">
        <f t="shared" ref="L33:AO33" si="8">IF(MONTH(K33+1)=MONTH($K$33),K33+1,"")</f>
        <v>46083</v>
      </c>
      <c r="M33" s="127">
        <f t="shared" si="8"/>
        <v>46084</v>
      </c>
      <c r="N33" s="127">
        <f t="shared" si="8"/>
        <v>46085</v>
      </c>
      <c r="O33" s="127">
        <f t="shared" si="8"/>
        <v>46086</v>
      </c>
      <c r="P33" s="127">
        <f t="shared" si="8"/>
        <v>46087</v>
      </c>
      <c r="Q33" s="128">
        <f t="shared" si="8"/>
        <v>46088</v>
      </c>
      <c r="R33" s="129">
        <f t="shared" si="8"/>
        <v>46089</v>
      </c>
      <c r="S33" s="129">
        <f t="shared" si="8"/>
        <v>46090</v>
      </c>
      <c r="T33" s="129">
        <f t="shared" si="8"/>
        <v>46091</v>
      </c>
      <c r="U33" s="129">
        <f t="shared" si="8"/>
        <v>46092</v>
      </c>
      <c r="V33" s="129">
        <f t="shared" si="8"/>
        <v>46093</v>
      </c>
      <c r="W33" s="129">
        <f t="shared" si="8"/>
        <v>46094</v>
      </c>
      <c r="X33" s="129">
        <f t="shared" si="8"/>
        <v>46095</v>
      </c>
      <c r="Y33" s="130">
        <f t="shared" si="8"/>
        <v>46096</v>
      </c>
      <c r="Z33" s="131">
        <f t="shared" si="8"/>
        <v>46097</v>
      </c>
      <c r="AA33" s="131">
        <f t="shared" si="8"/>
        <v>46098</v>
      </c>
      <c r="AB33" s="131">
        <f t="shared" si="8"/>
        <v>46099</v>
      </c>
      <c r="AC33" s="131">
        <f t="shared" si="8"/>
        <v>46100</v>
      </c>
      <c r="AD33" s="131">
        <f t="shared" si="8"/>
        <v>46101</v>
      </c>
      <c r="AE33" s="132">
        <f t="shared" si="8"/>
        <v>46102</v>
      </c>
      <c r="AF33" s="133">
        <f t="shared" si="8"/>
        <v>46103</v>
      </c>
      <c r="AG33" s="133">
        <f t="shared" si="8"/>
        <v>46104</v>
      </c>
      <c r="AH33" s="133">
        <f t="shared" si="8"/>
        <v>46105</v>
      </c>
      <c r="AI33" s="133">
        <f t="shared" si="8"/>
        <v>46106</v>
      </c>
      <c r="AJ33" s="133">
        <f t="shared" si="8"/>
        <v>46107</v>
      </c>
      <c r="AK33" s="133">
        <f t="shared" si="8"/>
        <v>46108</v>
      </c>
      <c r="AL33" s="133">
        <f t="shared" si="8"/>
        <v>46109</v>
      </c>
      <c r="AM33" s="134">
        <f t="shared" si="8"/>
        <v>46110</v>
      </c>
      <c r="AN33" s="135">
        <f t="shared" si="8"/>
        <v>46111</v>
      </c>
      <c r="AO33" s="136">
        <f t="shared" si="8"/>
        <v>46112</v>
      </c>
      <c r="AP33" s="102"/>
      <c r="AQ33" s="109"/>
      <c r="AR33" s="110"/>
      <c r="AS33" s="137">
        <f>BG2/BG4</f>
        <v>0</v>
      </c>
      <c r="AX33" s="113"/>
      <c r="AY33" s="2"/>
      <c r="AZ33" s="125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</row>
    <row r="34">
      <c r="A34" s="88"/>
      <c r="B34" s="138">
        <v>1.0</v>
      </c>
      <c r="C34" s="139" t="s">
        <v>40</v>
      </c>
      <c r="I34" s="88">
        <v>30.0</v>
      </c>
      <c r="K34" s="140" t="b">
        <v>0</v>
      </c>
      <c r="L34" s="88" t="b">
        <v>0</v>
      </c>
      <c r="M34" s="88" t="b">
        <v>0</v>
      </c>
      <c r="N34" s="88" t="b">
        <v>0</v>
      </c>
      <c r="O34" s="88" t="b">
        <v>0</v>
      </c>
      <c r="P34" s="88" t="b">
        <v>0</v>
      </c>
      <c r="Q34" s="141" t="b">
        <v>0</v>
      </c>
      <c r="R34" s="88" t="b">
        <v>0</v>
      </c>
      <c r="S34" s="88" t="b">
        <v>0</v>
      </c>
      <c r="T34" s="88" t="b">
        <v>0</v>
      </c>
      <c r="U34" s="88" t="b">
        <v>0</v>
      </c>
      <c r="V34" s="88" t="b">
        <v>0</v>
      </c>
      <c r="W34" s="88" t="b">
        <v>0</v>
      </c>
      <c r="X34" s="88" t="b">
        <v>0</v>
      </c>
      <c r="Y34" s="140" t="b">
        <v>0</v>
      </c>
      <c r="Z34" s="88" t="b">
        <v>0</v>
      </c>
      <c r="AA34" s="88" t="b">
        <v>0</v>
      </c>
      <c r="AB34" s="88" t="b">
        <v>0</v>
      </c>
      <c r="AC34" s="88" t="b">
        <v>0</v>
      </c>
      <c r="AD34" s="88" t="b">
        <v>0</v>
      </c>
      <c r="AE34" s="141" t="b">
        <v>0</v>
      </c>
      <c r="AF34" s="88" t="b">
        <v>0</v>
      </c>
      <c r="AG34" s="88" t="b">
        <v>0</v>
      </c>
      <c r="AH34" s="88" t="b">
        <v>0</v>
      </c>
      <c r="AI34" s="88" t="b">
        <v>0</v>
      </c>
      <c r="AJ34" s="88" t="b">
        <v>0</v>
      </c>
      <c r="AK34" s="88" t="b">
        <v>0</v>
      </c>
      <c r="AL34" s="88" t="b">
        <v>0</v>
      </c>
      <c r="AM34" s="140" t="b">
        <v>0</v>
      </c>
      <c r="AN34" s="88" t="b">
        <v>0</v>
      </c>
      <c r="AO34" s="142" t="b">
        <v>0</v>
      </c>
      <c r="AP34" s="1"/>
      <c r="AQ34" s="143">
        <f t="shared" ref="AQ34:AQ40" si="9">IF(B34="","",COUNTIF(K34:AO34, TRUE))</f>
        <v>0</v>
      </c>
      <c r="AR34" s="144">
        <f t="shared" ref="AR34:AR40" si="10">IF(C34="","",I34-AQ34)</f>
        <v>30</v>
      </c>
      <c r="AS34" s="145">
        <f t="shared" ref="AS34:AS40" si="11">IF(B34="","",IFERROR(AQ34/I34,""))</f>
        <v>0</v>
      </c>
      <c r="AT34" s="146" t="str">
        <f>IFERROR(__xludf.DUMMYFUNCTION("IF(B34="""","""",SPARKLINE(AS34,{""charttype"",""bar"";""max"",1;""color1"",""#fad5be""}))"),"")</f>
        <v/>
      </c>
      <c r="AU34" s="6"/>
      <c r="AV34" s="6"/>
      <c r="AW34" s="6"/>
      <c r="AX34" s="147"/>
      <c r="AY34" s="148">
        <f t="shared" ref="AY34:AY40" si="12">IF(AS34="",0,AS34)</f>
        <v>0</v>
      </c>
      <c r="AZ34" s="2"/>
      <c r="BA34" s="125"/>
      <c r="BB34" s="125"/>
      <c r="BC34" s="125"/>
      <c r="BD34" s="125"/>
      <c r="BE34" s="2"/>
      <c r="BF34" s="2"/>
      <c r="BG34" s="2"/>
      <c r="BH34" s="2"/>
      <c r="BI34" s="2"/>
      <c r="BJ34" s="2"/>
      <c r="BK34" s="149" t="b">
        <f>IFERROR(VLOOKUP(AR17, C34:AY40, 11, FALSE),"")</f>
        <v>0</v>
      </c>
      <c r="BL34" s="2"/>
      <c r="BM34" s="2"/>
      <c r="BN34" s="2"/>
      <c r="BO34" s="2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</row>
    <row r="35">
      <c r="A35" s="88"/>
      <c r="B35" s="138">
        <v>2.0</v>
      </c>
      <c r="C35" s="139" t="s">
        <v>27</v>
      </c>
      <c r="I35" s="88">
        <v>26.0</v>
      </c>
      <c r="K35" s="140" t="b">
        <v>0</v>
      </c>
      <c r="L35" s="88" t="b">
        <v>0</v>
      </c>
      <c r="M35" s="88" t="b">
        <v>0</v>
      </c>
      <c r="N35" s="88" t="b">
        <v>0</v>
      </c>
      <c r="O35" s="88" t="b">
        <v>0</v>
      </c>
      <c r="P35" s="88" t="b">
        <v>0</v>
      </c>
      <c r="Q35" s="141" t="b">
        <v>0</v>
      </c>
      <c r="R35" s="88" t="b">
        <v>0</v>
      </c>
      <c r="S35" s="88" t="b">
        <v>0</v>
      </c>
      <c r="T35" s="88" t="b">
        <v>0</v>
      </c>
      <c r="U35" s="88" t="b">
        <v>0</v>
      </c>
      <c r="V35" s="88" t="b">
        <v>0</v>
      </c>
      <c r="W35" s="88" t="b">
        <v>0</v>
      </c>
      <c r="X35" s="88" t="b">
        <v>0</v>
      </c>
      <c r="Y35" s="140" t="b">
        <v>0</v>
      </c>
      <c r="Z35" s="88" t="b">
        <v>0</v>
      </c>
      <c r="AA35" s="88" t="b">
        <v>0</v>
      </c>
      <c r="AB35" s="88" t="b">
        <v>0</v>
      </c>
      <c r="AC35" s="88" t="b">
        <v>0</v>
      </c>
      <c r="AD35" s="88" t="b">
        <v>0</v>
      </c>
      <c r="AE35" s="141" t="b">
        <v>0</v>
      </c>
      <c r="AF35" s="88" t="b">
        <v>0</v>
      </c>
      <c r="AG35" s="88" t="b">
        <v>0</v>
      </c>
      <c r="AH35" s="88" t="b">
        <v>0</v>
      </c>
      <c r="AI35" s="88" t="b">
        <v>0</v>
      </c>
      <c r="AJ35" s="88" t="b">
        <v>0</v>
      </c>
      <c r="AK35" s="88" t="b">
        <v>0</v>
      </c>
      <c r="AL35" s="88" t="b">
        <v>0</v>
      </c>
      <c r="AM35" s="140" t="b">
        <v>0</v>
      </c>
      <c r="AN35" s="88" t="b">
        <v>0</v>
      </c>
      <c r="AO35" s="142" t="b">
        <v>0</v>
      </c>
      <c r="AP35" s="1"/>
      <c r="AQ35" s="150">
        <f t="shared" si="9"/>
        <v>0</v>
      </c>
      <c r="AR35" s="151">
        <f t="shared" si="10"/>
        <v>26</v>
      </c>
      <c r="AS35" s="152">
        <f t="shared" si="11"/>
        <v>0</v>
      </c>
      <c r="AT35" s="112" t="str">
        <f>IFERROR(__xludf.DUMMYFUNCTION("IF(B35="""","""",SPARKLINE(AS35,{""charttype"",""bar"";""max"",1;""color1"",""#fad5be""}))"),"")</f>
        <v/>
      </c>
      <c r="AX35" s="113"/>
      <c r="AY35" s="148">
        <f t="shared" si="12"/>
        <v>0</v>
      </c>
      <c r="AZ35" s="2"/>
      <c r="BA35" s="125"/>
      <c r="BB35" s="125"/>
      <c r="BC35" s="125"/>
      <c r="BD35" s="125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</row>
    <row r="36">
      <c r="A36" s="88"/>
      <c r="B36" s="138">
        <v>3.0</v>
      </c>
      <c r="C36" s="139" t="s">
        <v>28</v>
      </c>
      <c r="I36" s="88">
        <v>30.0</v>
      </c>
      <c r="K36" s="140" t="b">
        <v>0</v>
      </c>
      <c r="L36" s="88" t="b">
        <v>0</v>
      </c>
      <c r="M36" s="88" t="b">
        <v>0</v>
      </c>
      <c r="N36" s="88" t="b">
        <v>0</v>
      </c>
      <c r="O36" s="88" t="b">
        <v>0</v>
      </c>
      <c r="P36" s="88" t="b">
        <v>0</v>
      </c>
      <c r="Q36" s="153" t="b">
        <v>0</v>
      </c>
      <c r="R36" s="1" t="b">
        <v>0</v>
      </c>
      <c r="S36" s="88" t="b">
        <v>0</v>
      </c>
      <c r="T36" s="1" t="b">
        <v>0</v>
      </c>
      <c r="U36" s="88" t="b">
        <v>0</v>
      </c>
      <c r="V36" s="1" t="b">
        <v>0</v>
      </c>
      <c r="W36" s="88" t="b">
        <v>0</v>
      </c>
      <c r="X36" s="1" t="b">
        <v>0</v>
      </c>
      <c r="Y36" s="154" t="b">
        <v>0</v>
      </c>
      <c r="Z36" s="1" t="b">
        <v>0</v>
      </c>
      <c r="AA36" s="1" t="b">
        <v>0</v>
      </c>
      <c r="AB36" s="1" t="b">
        <v>0</v>
      </c>
      <c r="AC36" s="1" t="b">
        <v>0</v>
      </c>
      <c r="AD36" s="1" t="b">
        <v>0</v>
      </c>
      <c r="AE36" s="153" t="b">
        <v>0</v>
      </c>
      <c r="AF36" s="1" t="b">
        <v>0</v>
      </c>
      <c r="AG36" s="1" t="b">
        <v>0</v>
      </c>
      <c r="AH36" s="1" t="b">
        <v>0</v>
      </c>
      <c r="AI36" s="88" t="b">
        <v>0</v>
      </c>
      <c r="AJ36" s="1" t="b">
        <v>0</v>
      </c>
      <c r="AK36" s="1" t="b">
        <v>0</v>
      </c>
      <c r="AL36" s="1" t="b">
        <v>0</v>
      </c>
      <c r="AM36" s="140" t="b">
        <v>0</v>
      </c>
      <c r="AN36" s="88" t="b">
        <v>0</v>
      </c>
      <c r="AO36" s="142" t="b">
        <v>0</v>
      </c>
      <c r="AP36" s="1"/>
      <c r="AQ36" s="150">
        <f t="shared" si="9"/>
        <v>0</v>
      </c>
      <c r="AR36" s="151">
        <f t="shared" si="10"/>
        <v>30</v>
      </c>
      <c r="AS36" s="152">
        <f t="shared" si="11"/>
        <v>0</v>
      </c>
      <c r="AT36" s="112" t="str">
        <f>IFERROR(__xludf.DUMMYFUNCTION("IF(B36="""","""",SPARKLINE(AS36,{""charttype"",""bar"";""max"",1;""color1"",""#fad5be""}))"),"")</f>
        <v/>
      </c>
      <c r="AX36" s="113"/>
      <c r="AY36" s="148">
        <f t="shared" si="12"/>
        <v>0</v>
      </c>
      <c r="AZ36" s="2"/>
      <c r="BA36" s="125"/>
      <c r="BB36" s="125"/>
      <c r="BC36" s="125"/>
      <c r="BD36" s="125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</row>
    <row r="37">
      <c r="A37" s="88"/>
      <c r="B37" s="138">
        <v>4.0</v>
      </c>
      <c r="C37" s="139" t="s">
        <v>29</v>
      </c>
      <c r="I37" s="88">
        <v>30.0</v>
      </c>
      <c r="K37" s="140" t="b">
        <v>0</v>
      </c>
      <c r="L37" s="88" t="b">
        <v>0</v>
      </c>
      <c r="M37" s="88" t="b">
        <v>0</v>
      </c>
      <c r="N37" s="88" t="b">
        <v>0</v>
      </c>
      <c r="O37" s="88" t="b">
        <v>0</v>
      </c>
      <c r="P37" s="88" t="b">
        <v>0</v>
      </c>
      <c r="Q37" s="153" t="b">
        <v>0</v>
      </c>
      <c r="R37" s="1" t="b">
        <v>0</v>
      </c>
      <c r="S37" s="88" t="b">
        <v>0</v>
      </c>
      <c r="T37" s="1" t="b">
        <v>0</v>
      </c>
      <c r="U37" s="1" t="b">
        <v>0</v>
      </c>
      <c r="V37" s="1" t="b">
        <v>0</v>
      </c>
      <c r="W37" s="88" t="b">
        <v>0</v>
      </c>
      <c r="X37" s="1" t="b">
        <v>0</v>
      </c>
      <c r="Y37" s="154" t="b">
        <v>0</v>
      </c>
      <c r="Z37" s="1" t="b">
        <v>0</v>
      </c>
      <c r="AA37" s="1" t="b">
        <v>0</v>
      </c>
      <c r="AB37" s="1" t="b">
        <v>0</v>
      </c>
      <c r="AC37" s="1" t="b">
        <v>0</v>
      </c>
      <c r="AD37" s="1" t="b">
        <v>0</v>
      </c>
      <c r="AE37" s="153" t="b">
        <v>0</v>
      </c>
      <c r="AF37" s="1" t="b">
        <v>0</v>
      </c>
      <c r="AG37" s="1" t="b">
        <v>0</v>
      </c>
      <c r="AH37" s="1" t="b">
        <v>0</v>
      </c>
      <c r="AI37" s="88" t="b">
        <v>0</v>
      </c>
      <c r="AJ37" s="1" t="b">
        <v>0</v>
      </c>
      <c r="AK37" s="1" t="b">
        <v>0</v>
      </c>
      <c r="AL37" s="1" t="b">
        <v>0</v>
      </c>
      <c r="AM37" s="140" t="b">
        <v>0</v>
      </c>
      <c r="AN37" s="1" t="b">
        <v>0</v>
      </c>
      <c r="AO37" s="142" t="b">
        <v>0</v>
      </c>
      <c r="AP37" s="1"/>
      <c r="AQ37" s="150">
        <f t="shared" si="9"/>
        <v>0</v>
      </c>
      <c r="AR37" s="151">
        <f t="shared" si="10"/>
        <v>30</v>
      </c>
      <c r="AS37" s="152">
        <f t="shared" si="11"/>
        <v>0</v>
      </c>
      <c r="AT37" s="112" t="str">
        <f>IFERROR(__xludf.DUMMYFUNCTION("IF(B37="""","""",SPARKLINE(AS37,{""charttype"",""bar"";""max"",1;""color1"",""#fad5be""}))"),"")</f>
        <v/>
      </c>
      <c r="AX37" s="113"/>
      <c r="AY37" s="148">
        <f t="shared" si="12"/>
        <v>0</v>
      </c>
      <c r="AZ37" s="2"/>
      <c r="BA37" s="125"/>
      <c r="BB37" s="125"/>
      <c r="BC37" s="125"/>
      <c r="BD37" s="125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</row>
    <row r="38">
      <c r="A38" s="88"/>
      <c r="B38" s="138">
        <v>5.0</v>
      </c>
      <c r="C38" s="139" t="s">
        <v>30</v>
      </c>
      <c r="I38" s="88">
        <v>10.0</v>
      </c>
      <c r="K38" s="140" t="b">
        <v>0</v>
      </c>
      <c r="L38" s="88" t="b">
        <v>0</v>
      </c>
      <c r="M38" s="88" t="b">
        <v>0</v>
      </c>
      <c r="N38" s="1" t="b">
        <v>0</v>
      </c>
      <c r="O38" s="1" t="b">
        <v>0</v>
      </c>
      <c r="P38" s="88" t="b">
        <v>0</v>
      </c>
      <c r="Q38" s="141" t="b">
        <v>0</v>
      </c>
      <c r="R38" s="1" t="b">
        <v>0</v>
      </c>
      <c r="S38" s="1" t="b">
        <v>0</v>
      </c>
      <c r="T38" s="1" t="b">
        <v>0</v>
      </c>
      <c r="U38" s="88" t="b">
        <v>0</v>
      </c>
      <c r="V38" s="1" t="b">
        <v>0</v>
      </c>
      <c r="W38" s="88" t="b">
        <v>0</v>
      </c>
      <c r="X38" s="1" t="b">
        <v>0</v>
      </c>
      <c r="Y38" s="154" t="b">
        <v>0</v>
      </c>
      <c r="Z38" s="1" t="b">
        <v>0</v>
      </c>
      <c r="AA38" s="1" t="b">
        <v>0</v>
      </c>
      <c r="AB38" s="88" t="b">
        <v>0</v>
      </c>
      <c r="AC38" s="1" t="b">
        <v>0</v>
      </c>
      <c r="AD38" s="1" t="b">
        <v>0</v>
      </c>
      <c r="AE38" s="153" t="b">
        <v>0</v>
      </c>
      <c r="AF38" s="1" t="b">
        <v>0</v>
      </c>
      <c r="AG38" s="88" t="b">
        <v>0</v>
      </c>
      <c r="AH38" s="1" t="b">
        <v>0</v>
      </c>
      <c r="AI38" s="1" t="b">
        <v>0</v>
      </c>
      <c r="AJ38" s="88" t="b">
        <v>0</v>
      </c>
      <c r="AK38" s="1" t="b">
        <v>0</v>
      </c>
      <c r="AL38" s="1" t="b">
        <v>0</v>
      </c>
      <c r="AM38" s="140" t="b">
        <v>0</v>
      </c>
      <c r="AN38" s="1" t="b">
        <v>0</v>
      </c>
      <c r="AO38" s="142" t="b">
        <v>0</v>
      </c>
      <c r="AP38" s="1"/>
      <c r="AQ38" s="150">
        <f t="shared" si="9"/>
        <v>0</v>
      </c>
      <c r="AR38" s="151">
        <f t="shared" si="10"/>
        <v>10</v>
      </c>
      <c r="AS38" s="152">
        <f t="shared" si="11"/>
        <v>0</v>
      </c>
      <c r="AT38" s="112" t="str">
        <f>IFERROR(__xludf.DUMMYFUNCTION("IF(B38="""","""",SPARKLINE(AS38,{""charttype"",""bar"";""max"",1;""color1"",""#fad5be""}))"),"")</f>
        <v/>
      </c>
      <c r="AX38" s="113"/>
      <c r="AY38" s="148">
        <f t="shared" si="12"/>
        <v>0</v>
      </c>
      <c r="AZ38" s="2"/>
      <c r="BA38" s="125"/>
      <c r="BB38" s="125"/>
      <c r="BC38" s="125"/>
      <c r="BD38" s="125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</row>
    <row r="39">
      <c r="A39" s="88"/>
      <c r="B39" s="138">
        <v>6.0</v>
      </c>
      <c r="C39" s="139" t="s">
        <v>31</v>
      </c>
      <c r="I39" s="88">
        <v>10.0</v>
      </c>
      <c r="K39" s="140" t="b">
        <v>0</v>
      </c>
      <c r="L39" s="1" t="b">
        <v>0</v>
      </c>
      <c r="M39" s="88" t="b">
        <v>0</v>
      </c>
      <c r="N39" s="88" t="b">
        <v>0</v>
      </c>
      <c r="O39" s="1" t="b">
        <v>0</v>
      </c>
      <c r="P39" s="1" t="b">
        <v>0</v>
      </c>
      <c r="Q39" s="141" t="b">
        <v>0</v>
      </c>
      <c r="R39" s="1" t="b">
        <v>0</v>
      </c>
      <c r="S39" s="1" t="b">
        <v>0</v>
      </c>
      <c r="T39" s="1" t="b">
        <v>0</v>
      </c>
      <c r="U39" s="1" t="b">
        <v>0</v>
      </c>
      <c r="V39" s="1" t="b">
        <v>0</v>
      </c>
      <c r="W39" s="1" t="b">
        <v>0</v>
      </c>
      <c r="X39" s="1" t="b">
        <v>0</v>
      </c>
      <c r="Y39" s="154" t="b">
        <v>0</v>
      </c>
      <c r="Z39" s="1" t="b">
        <v>0</v>
      </c>
      <c r="AA39" s="1" t="b">
        <v>0</v>
      </c>
      <c r="AB39" s="1" t="b">
        <v>0</v>
      </c>
      <c r="AC39" s="1" t="b">
        <v>0</v>
      </c>
      <c r="AD39" s="1" t="b">
        <v>0</v>
      </c>
      <c r="AE39" s="153" t="b">
        <v>0</v>
      </c>
      <c r="AF39" s="1" t="b">
        <v>0</v>
      </c>
      <c r="AG39" s="1" t="b">
        <v>0</v>
      </c>
      <c r="AH39" s="1" t="b">
        <v>0</v>
      </c>
      <c r="AI39" s="1" t="b">
        <v>0</v>
      </c>
      <c r="AJ39" s="1" t="b">
        <v>0</v>
      </c>
      <c r="AK39" s="1" t="b">
        <v>0</v>
      </c>
      <c r="AL39" s="1" t="b">
        <v>0</v>
      </c>
      <c r="AM39" s="140" t="b">
        <v>0</v>
      </c>
      <c r="AN39" s="1" t="b">
        <v>0</v>
      </c>
      <c r="AO39" s="142" t="b">
        <v>0</v>
      </c>
      <c r="AP39" s="1"/>
      <c r="AQ39" s="150">
        <f t="shared" si="9"/>
        <v>0</v>
      </c>
      <c r="AR39" s="151">
        <f t="shared" si="10"/>
        <v>10</v>
      </c>
      <c r="AS39" s="152">
        <f t="shared" si="11"/>
        <v>0</v>
      </c>
      <c r="AT39" s="112" t="str">
        <f>IFERROR(__xludf.DUMMYFUNCTION("IF(B39="""","""",SPARKLINE(AS39,{""charttype"",""bar"";""max"",1;""color1"",""#fad5be""}))"),"")</f>
        <v/>
      </c>
      <c r="AX39" s="113"/>
      <c r="AY39" s="148">
        <f t="shared" si="12"/>
        <v>0</v>
      </c>
      <c r="AZ39" s="2"/>
      <c r="BA39" s="125"/>
      <c r="BB39" s="125"/>
      <c r="BC39" s="125"/>
      <c r="BD39" s="125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</row>
    <row r="40">
      <c r="A40" s="88"/>
      <c r="B40" s="155">
        <v>7.0</v>
      </c>
      <c r="C40" s="27" t="s">
        <v>33</v>
      </c>
      <c r="D40" s="19"/>
      <c r="E40" s="19"/>
      <c r="F40" s="19"/>
      <c r="G40" s="19"/>
      <c r="H40" s="19"/>
      <c r="I40" s="156">
        <v>10.0</v>
      </c>
      <c r="J40" s="19"/>
      <c r="K40" s="157" t="b">
        <v>0</v>
      </c>
      <c r="L40" s="29" t="b">
        <v>0</v>
      </c>
      <c r="M40" s="29" t="b">
        <v>0</v>
      </c>
      <c r="N40" s="29" t="b">
        <v>0</v>
      </c>
      <c r="O40" s="156" t="b">
        <v>0</v>
      </c>
      <c r="P40" s="29" t="b">
        <v>0</v>
      </c>
      <c r="Q40" s="158" t="b">
        <v>0</v>
      </c>
      <c r="R40" s="29" t="b">
        <v>0</v>
      </c>
      <c r="S40" s="29" t="b">
        <v>0</v>
      </c>
      <c r="T40" s="29" t="b">
        <v>0</v>
      </c>
      <c r="U40" s="29" t="b">
        <v>0</v>
      </c>
      <c r="V40" s="29" t="b">
        <v>0</v>
      </c>
      <c r="W40" s="29" t="b">
        <v>0</v>
      </c>
      <c r="X40" s="29" t="b">
        <v>0</v>
      </c>
      <c r="Y40" s="159" t="b">
        <v>0</v>
      </c>
      <c r="Z40" s="160" t="b">
        <v>0</v>
      </c>
      <c r="AA40" s="160" t="b">
        <v>0</v>
      </c>
      <c r="AB40" s="160" t="b">
        <v>0</v>
      </c>
      <c r="AC40" s="160" t="b">
        <v>0</v>
      </c>
      <c r="AD40" s="160" t="b">
        <v>0</v>
      </c>
      <c r="AE40" s="161" t="b">
        <v>0</v>
      </c>
      <c r="AF40" s="29" t="b">
        <v>0</v>
      </c>
      <c r="AG40" s="156" t="b">
        <v>0</v>
      </c>
      <c r="AH40" s="29" t="b">
        <v>0</v>
      </c>
      <c r="AI40" s="156" t="b">
        <v>0</v>
      </c>
      <c r="AJ40" s="156" t="b">
        <v>0</v>
      </c>
      <c r="AK40" s="29" t="b">
        <v>0</v>
      </c>
      <c r="AL40" s="29" t="b">
        <v>0</v>
      </c>
      <c r="AM40" s="162" t="b">
        <v>0</v>
      </c>
      <c r="AN40" s="156" t="b">
        <v>0</v>
      </c>
      <c r="AO40" s="163" t="b">
        <v>0</v>
      </c>
      <c r="AP40" s="1"/>
      <c r="AQ40" s="164">
        <f t="shared" si="9"/>
        <v>0</v>
      </c>
      <c r="AR40" s="165">
        <f t="shared" si="10"/>
        <v>10</v>
      </c>
      <c r="AS40" s="166">
        <f t="shared" si="11"/>
        <v>0</v>
      </c>
      <c r="AT40" s="167" t="str">
        <f>IFERROR(__xludf.DUMMYFUNCTION("IF(B40="""","""",SPARKLINE(AS40,{""charttype"",""bar"";""max"",1;""color1"",""#fad5be""}))"),"")</f>
        <v/>
      </c>
      <c r="AU40" s="13"/>
      <c r="AV40" s="13"/>
      <c r="AW40" s="13"/>
      <c r="AX40" s="168"/>
      <c r="AY40" s="148">
        <f t="shared" si="12"/>
        <v>0</v>
      </c>
      <c r="AZ40" s="2"/>
      <c r="BA40" s="125"/>
      <c r="BB40" s="125"/>
      <c r="BC40" s="125"/>
      <c r="BD40" s="125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</row>
    <row r="41">
      <c r="A41" s="88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  <c r="CW948" s="1"/>
      <c r="CX948" s="1"/>
      <c r="CY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  <c r="CW949" s="1"/>
      <c r="CX949" s="1"/>
      <c r="CY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  <c r="CW950" s="1"/>
      <c r="CX950" s="1"/>
      <c r="CY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  <c r="CX951" s="1"/>
      <c r="CY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  <c r="CW952" s="1"/>
      <c r="CX952" s="1"/>
      <c r="CY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1"/>
      <c r="CX953" s="1"/>
      <c r="CY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  <c r="CW954" s="1"/>
      <c r="CX954" s="1"/>
      <c r="CY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  <c r="CW955" s="1"/>
      <c r="CX955" s="1"/>
      <c r="CY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  <c r="CW956" s="1"/>
      <c r="CX956" s="1"/>
      <c r="CY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  <c r="CW957" s="1"/>
      <c r="CX957" s="1"/>
      <c r="CY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  <c r="CW958" s="1"/>
      <c r="CX958" s="1"/>
      <c r="CY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  <c r="CW959" s="1"/>
      <c r="CX959" s="1"/>
      <c r="CY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  <c r="CW960" s="1"/>
      <c r="CX960" s="1"/>
      <c r="CY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  <c r="CW961" s="1"/>
      <c r="CX961" s="1"/>
      <c r="CY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  <c r="CW962" s="1"/>
      <c r="CX962" s="1"/>
      <c r="CY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  <c r="CW963" s="1"/>
      <c r="CX963" s="1"/>
      <c r="CY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  <c r="CW964" s="1"/>
      <c r="CX964" s="1"/>
      <c r="CY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1"/>
      <c r="CX965" s="1"/>
      <c r="CY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  <c r="CW966" s="1"/>
      <c r="CX966" s="1"/>
      <c r="CY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  <c r="CW967" s="1"/>
      <c r="CX967" s="1"/>
      <c r="CY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  <c r="CW968" s="1"/>
      <c r="CX968" s="1"/>
      <c r="CY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1"/>
      <c r="CX969" s="1"/>
      <c r="CY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  <c r="CW970" s="1"/>
      <c r="CX970" s="1"/>
      <c r="CY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  <c r="CW971" s="1"/>
      <c r="CX971" s="1"/>
      <c r="CY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  <c r="CW972" s="1"/>
      <c r="CX972" s="1"/>
      <c r="CY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  <c r="CW973" s="1"/>
      <c r="CX973" s="1"/>
      <c r="CY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  <c r="CW974" s="1"/>
      <c r="CX974" s="1"/>
      <c r="CY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  <c r="CW975" s="1"/>
      <c r="CX975" s="1"/>
      <c r="CY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  <c r="CW976" s="1"/>
      <c r="CX976" s="1"/>
      <c r="CY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  <c r="CW977" s="1"/>
      <c r="CX977" s="1"/>
      <c r="CY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  <c r="CW978" s="1"/>
      <c r="CX978" s="1"/>
      <c r="CY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  <c r="CW979" s="1"/>
      <c r="CX979" s="1"/>
      <c r="CY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  <c r="CW980" s="1"/>
      <c r="CX980" s="1"/>
      <c r="CY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  <c r="CW981" s="1"/>
      <c r="CX981" s="1"/>
      <c r="CY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  <c r="CW982" s="1"/>
      <c r="CX982" s="1"/>
      <c r="CY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  <c r="CW983" s="1"/>
      <c r="CX983" s="1"/>
      <c r="CY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  <c r="CW984" s="1"/>
      <c r="CX984" s="1"/>
      <c r="CY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  <c r="CW985" s="1"/>
      <c r="CX985" s="1"/>
      <c r="CY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  <c r="CW986" s="1"/>
      <c r="CX986" s="1"/>
      <c r="CY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  <c r="CW987" s="1"/>
      <c r="CX987" s="1"/>
      <c r="CY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  <c r="CW988" s="1"/>
      <c r="CX988" s="1"/>
      <c r="CY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  <c r="CW989" s="1"/>
      <c r="CX989" s="1"/>
      <c r="CY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  <c r="CW990" s="1"/>
      <c r="CX990" s="1"/>
      <c r="CY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  <c r="CW991" s="1"/>
      <c r="CX991" s="1"/>
      <c r="CY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  <c r="CW992" s="1"/>
      <c r="CX992" s="1"/>
      <c r="CY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  <c r="CW993" s="1"/>
      <c r="CX993" s="1"/>
      <c r="CY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  <c r="CW994" s="1"/>
      <c r="CX994" s="1"/>
      <c r="CY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  <c r="CW995" s="1"/>
      <c r="CX995" s="1"/>
      <c r="CY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  <c r="CV996" s="1"/>
      <c r="CW996" s="1"/>
      <c r="CX996" s="1"/>
      <c r="CY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  <c r="CV997" s="1"/>
      <c r="CW997" s="1"/>
      <c r="CX997" s="1"/>
      <c r="CY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  <c r="CV998" s="1"/>
      <c r="CW998" s="1"/>
      <c r="CX998" s="1"/>
      <c r="CY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1"/>
      <c r="CV999" s="1"/>
      <c r="CW999" s="1"/>
      <c r="CX999" s="1"/>
      <c r="CY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1"/>
      <c r="CV1000" s="1"/>
      <c r="CW1000" s="1"/>
      <c r="CX1000" s="1"/>
      <c r="CY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/>
      <c r="CA1001" s="1"/>
      <c r="CB1001" s="1"/>
      <c r="CC1001" s="1"/>
      <c r="CD1001" s="1"/>
      <c r="CE1001" s="1"/>
      <c r="CF1001" s="1"/>
      <c r="CG1001" s="1"/>
      <c r="CH1001" s="1"/>
      <c r="CI1001" s="1"/>
      <c r="CJ1001" s="1"/>
      <c r="CK1001" s="1"/>
      <c r="CL1001" s="1"/>
      <c r="CM1001" s="1"/>
      <c r="CN1001" s="1"/>
      <c r="CO1001" s="1"/>
      <c r="CP1001" s="1"/>
      <c r="CQ1001" s="1"/>
      <c r="CR1001" s="1"/>
      <c r="CS1001" s="1"/>
      <c r="CT1001" s="1"/>
      <c r="CU1001" s="1"/>
      <c r="CV1001" s="1"/>
      <c r="CW1001" s="1"/>
      <c r="CX1001" s="1"/>
      <c r="CY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  <c r="BV1002" s="1"/>
      <c r="BW1002" s="1"/>
      <c r="BX1002" s="1"/>
      <c r="BY1002" s="1"/>
      <c r="BZ1002" s="1"/>
      <c r="CA1002" s="1"/>
      <c r="CB1002" s="1"/>
      <c r="CC1002" s="1"/>
      <c r="CD1002" s="1"/>
      <c r="CE1002" s="1"/>
      <c r="CF1002" s="1"/>
      <c r="CG1002" s="1"/>
      <c r="CH1002" s="1"/>
      <c r="CI1002" s="1"/>
      <c r="CJ1002" s="1"/>
      <c r="CK1002" s="1"/>
      <c r="CL1002" s="1"/>
      <c r="CM1002" s="1"/>
      <c r="CN1002" s="1"/>
      <c r="CO1002" s="1"/>
      <c r="CP1002" s="1"/>
      <c r="CQ1002" s="1"/>
      <c r="CR1002" s="1"/>
      <c r="CS1002" s="1"/>
      <c r="CT1002" s="1"/>
      <c r="CU1002" s="1"/>
      <c r="CV1002" s="1"/>
      <c r="CW1002" s="1"/>
      <c r="CX1002" s="1"/>
      <c r="CY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  <c r="BX1003" s="1"/>
      <c r="BY1003" s="1"/>
      <c r="BZ1003" s="1"/>
      <c r="CA1003" s="1"/>
      <c r="CB1003" s="1"/>
      <c r="CC1003" s="1"/>
      <c r="CD1003" s="1"/>
      <c r="CE1003" s="1"/>
      <c r="CF1003" s="1"/>
      <c r="CG1003" s="1"/>
      <c r="CH1003" s="1"/>
      <c r="CI1003" s="1"/>
      <c r="CJ1003" s="1"/>
      <c r="CK1003" s="1"/>
      <c r="CL1003" s="1"/>
      <c r="CM1003" s="1"/>
      <c r="CN1003" s="1"/>
      <c r="CO1003" s="1"/>
      <c r="CP1003" s="1"/>
      <c r="CQ1003" s="1"/>
      <c r="CR1003" s="1"/>
      <c r="CS1003" s="1"/>
      <c r="CT1003" s="1"/>
      <c r="CU1003" s="1"/>
      <c r="CV1003" s="1"/>
      <c r="CW1003" s="1"/>
      <c r="CX1003" s="1"/>
      <c r="CY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  <c r="BS1004" s="1"/>
      <c r="BT1004" s="1"/>
      <c r="BU1004" s="1"/>
      <c r="BV1004" s="1"/>
      <c r="BW1004" s="1"/>
      <c r="BX1004" s="1"/>
      <c r="BY1004" s="1"/>
      <c r="BZ1004" s="1"/>
      <c r="CA1004" s="1"/>
      <c r="CB1004" s="1"/>
      <c r="CC1004" s="1"/>
      <c r="CD1004" s="1"/>
      <c r="CE1004" s="1"/>
      <c r="CF1004" s="1"/>
      <c r="CG1004" s="1"/>
      <c r="CH1004" s="1"/>
      <c r="CI1004" s="1"/>
      <c r="CJ1004" s="1"/>
      <c r="CK1004" s="1"/>
      <c r="CL1004" s="1"/>
      <c r="CM1004" s="1"/>
      <c r="CN1004" s="1"/>
      <c r="CO1004" s="1"/>
      <c r="CP1004" s="1"/>
      <c r="CQ1004" s="1"/>
      <c r="CR1004" s="1"/>
      <c r="CS1004" s="1"/>
      <c r="CT1004" s="1"/>
      <c r="CU1004" s="1"/>
      <c r="CV1004" s="1"/>
      <c r="CW1004" s="1"/>
      <c r="CX1004" s="1"/>
      <c r="CY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  <c r="BT1005" s="1"/>
      <c r="BU1005" s="1"/>
      <c r="BV1005" s="1"/>
      <c r="BW1005" s="1"/>
      <c r="BX1005" s="1"/>
      <c r="BY1005" s="1"/>
      <c r="BZ1005" s="1"/>
      <c r="CA1005" s="1"/>
      <c r="CB1005" s="1"/>
      <c r="CC1005" s="1"/>
      <c r="CD1005" s="1"/>
      <c r="CE1005" s="1"/>
      <c r="CF1005" s="1"/>
      <c r="CG1005" s="1"/>
      <c r="CH1005" s="1"/>
      <c r="CI1005" s="1"/>
      <c r="CJ1005" s="1"/>
      <c r="CK1005" s="1"/>
      <c r="CL1005" s="1"/>
      <c r="CM1005" s="1"/>
      <c r="CN1005" s="1"/>
      <c r="CO1005" s="1"/>
      <c r="CP1005" s="1"/>
      <c r="CQ1005" s="1"/>
      <c r="CR1005" s="1"/>
      <c r="CS1005" s="1"/>
      <c r="CT1005" s="1"/>
      <c r="CU1005" s="1"/>
      <c r="CV1005" s="1"/>
      <c r="CW1005" s="1"/>
      <c r="CX1005" s="1"/>
      <c r="CY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  <c r="BS1006" s="1"/>
      <c r="BT1006" s="1"/>
      <c r="BU1006" s="1"/>
      <c r="BV1006" s="1"/>
      <c r="BW1006" s="1"/>
      <c r="BX1006" s="1"/>
      <c r="BY1006" s="1"/>
      <c r="BZ1006" s="1"/>
      <c r="CA1006" s="1"/>
      <c r="CB1006" s="1"/>
      <c r="CC1006" s="1"/>
      <c r="CD1006" s="1"/>
      <c r="CE1006" s="1"/>
      <c r="CF1006" s="1"/>
      <c r="CG1006" s="1"/>
      <c r="CH1006" s="1"/>
      <c r="CI1006" s="1"/>
      <c r="CJ1006" s="1"/>
      <c r="CK1006" s="1"/>
      <c r="CL1006" s="1"/>
      <c r="CM1006" s="1"/>
      <c r="CN1006" s="1"/>
      <c r="CO1006" s="1"/>
      <c r="CP1006" s="1"/>
      <c r="CQ1006" s="1"/>
      <c r="CR1006" s="1"/>
      <c r="CS1006" s="1"/>
      <c r="CT1006" s="1"/>
      <c r="CU1006" s="1"/>
      <c r="CV1006" s="1"/>
      <c r="CW1006" s="1"/>
      <c r="CX1006" s="1"/>
      <c r="CY1006" s="1"/>
    </row>
    <row r="100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/>
      <c r="BX1007" s="1"/>
      <c r="BY1007" s="1"/>
      <c r="BZ1007" s="1"/>
      <c r="CA1007" s="1"/>
      <c r="CB1007" s="1"/>
      <c r="CC1007" s="1"/>
      <c r="CD1007" s="1"/>
      <c r="CE1007" s="1"/>
      <c r="CF1007" s="1"/>
      <c r="CG1007" s="1"/>
      <c r="CH1007" s="1"/>
      <c r="CI1007" s="1"/>
      <c r="CJ1007" s="1"/>
      <c r="CK1007" s="1"/>
      <c r="CL1007" s="1"/>
      <c r="CM1007" s="1"/>
      <c r="CN1007" s="1"/>
      <c r="CO1007" s="1"/>
      <c r="CP1007" s="1"/>
      <c r="CQ1007" s="1"/>
      <c r="CR1007" s="1"/>
      <c r="CS1007" s="1"/>
      <c r="CT1007" s="1"/>
      <c r="CU1007" s="1"/>
      <c r="CV1007" s="1"/>
      <c r="CW1007" s="1"/>
      <c r="CX1007" s="1"/>
      <c r="CY1007" s="1"/>
    </row>
    <row r="1008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  <c r="BS1008" s="1"/>
      <c r="BT1008" s="1"/>
      <c r="BU1008" s="1"/>
      <c r="BV1008" s="1"/>
      <c r="BW1008" s="1"/>
      <c r="BX1008" s="1"/>
      <c r="BY1008" s="1"/>
      <c r="BZ1008" s="1"/>
      <c r="CA1008" s="1"/>
      <c r="CB1008" s="1"/>
      <c r="CC1008" s="1"/>
      <c r="CD1008" s="1"/>
      <c r="CE1008" s="1"/>
      <c r="CF1008" s="1"/>
      <c r="CG1008" s="1"/>
      <c r="CH1008" s="1"/>
      <c r="CI1008" s="1"/>
      <c r="CJ1008" s="1"/>
      <c r="CK1008" s="1"/>
      <c r="CL1008" s="1"/>
      <c r="CM1008" s="1"/>
      <c r="CN1008" s="1"/>
      <c r="CO1008" s="1"/>
      <c r="CP1008" s="1"/>
      <c r="CQ1008" s="1"/>
      <c r="CR1008" s="1"/>
      <c r="CS1008" s="1"/>
      <c r="CT1008" s="1"/>
      <c r="CU1008" s="1"/>
      <c r="CV1008" s="1"/>
      <c r="CW1008" s="1"/>
      <c r="CX1008" s="1"/>
      <c r="CY1008" s="1"/>
    </row>
    <row r="1009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  <c r="BS1009" s="1"/>
      <c r="BT1009" s="1"/>
      <c r="BU1009" s="1"/>
      <c r="BV1009" s="1"/>
      <c r="BW1009" s="1"/>
      <c r="BX1009" s="1"/>
      <c r="BY1009" s="1"/>
      <c r="BZ1009" s="1"/>
      <c r="CA1009" s="1"/>
      <c r="CB1009" s="1"/>
      <c r="CC1009" s="1"/>
      <c r="CD1009" s="1"/>
      <c r="CE1009" s="1"/>
      <c r="CF1009" s="1"/>
      <c r="CG1009" s="1"/>
      <c r="CH1009" s="1"/>
      <c r="CI1009" s="1"/>
      <c r="CJ1009" s="1"/>
      <c r="CK1009" s="1"/>
      <c r="CL1009" s="1"/>
      <c r="CM1009" s="1"/>
      <c r="CN1009" s="1"/>
      <c r="CO1009" s="1"/>
      <c r="CP1009" s="1"/>
      <c r="CQ1009" s="1"/>
      <c r="CR1009" s="1"/>
      <c r="CS1009" s="1"/>
      <c r="CT1009" s="1"/>
      <c r="CU1009" s="1"/>
      <c r="CV1009" s="1"/>
      <c r="CW1009" s="1"/>
      <c r="CX1009" s="1"/>
      <c r="CY1009" s="1"/>
    </row>
    <row r="1010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  <c r="BR1010" s="1"/>
      <c r="BS1010" s="1"/>
      <c r="BT1010" s="1"/>
      <c r="BU1010" s="1"/>
      <c r="BV1010" s="1"/>
      <c r="BW1010" s="1"/>
      <c r="BX1010" s="1"/>
      <c r="BY1010" s="1"/>
      <c r="BZ1010" s="1"/>
      <c r="CA1010" s="1"/>
      <c r="CB1010" s="1"/>
      <c r="CC1010" s="1"/>
      <c r="CD1010" s="1"/>
      <c r="CE1010" s="1"/>
      <c r="CF1010" s="1"/>
      <c r="CG1010" s="1"/>
      <c r="CH1010" s="1"/>
      <c r="CI1010" s="1"/>
      <c r="CJ1010" s="1"/>
      <c r="CK1010" s="1"/>
      <c r="CL1010" s="1"/>
      <c r="CM1010" s="1"/>
      <c r="CN1010" s="1"/>
      <c r="CO1010" s="1"/>
      <c r="CP1010" s="1"/>
      <c r="CQ1010" s="1"/>
      <c r="CR1010" s="1"/>
      <c r="CS1010" s="1"/>
      <c r="CT1010" s="1"/>
      <c r="CU1010" s="1"/>
      <c r="CV1010" s="1"/>
      <c r="CW1010" s="1"/>
      <c r="CX1010" s="1"/>
      <c r="CY1010" s="1"/>
    </row>
    <row r="101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  <c r="BR1011" s="1"/>
      <c r="BS1011" s="1"/>
      <c r="BT1011" s="1"/>
      <c r="BU1011" s="1"/>
      <c r="BV1011" s="1"/>
      <c r="BW1011" s="1"/>
      <c r="BX1011" s="1"/>
      <c r="BY1011" s="1"/>
      <c r="BZ1011" s="1"/>
      <c r="CA1011" s="1"/>
      <c r="CB1011" s="1"/>
      <c r="CC1011" s="1"/>
      <c r="CD1011" s="1"/>
      <c r="CE1011" s="1"/>
      <c r="CF1011" s="1"/>
      <c r="CG1011" s="1"/>
      <c r="CH1011" s="1"/>
      <c r="CI1011" s="1"/>
      <c r="CJ1011" s="1"/>
      <c r="CK1011" s="1"/>
      <c r="CL1011" s="1"/>
      <c r="CM1011" s="1"/>
      <c r="CN1011" s="1"/>
      <c r="CO1011" s="1"/>
      <c r="CP1011" s="1"/>
      <c r="CQ1011" s="1"/>
      <c r="CR1011" s="1"/>
      <c r="CS1011" s="1"/>
      <c r="CT1011" s="1"/>
      <c r="CU1011" s="1"/>
      <c r="CV1011" s="1"/>
      <c r="CW1011" s="1"/>
      <c r="CX1011" s="1"/>
      <c r="CY1011" s="1"/>
    </row>
    <row r="101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  <c r="BR1012" s="1"/>
      <c r="BS1012" s="1"/>
      <c r="BT1012" s="1"/>
      <c r="BU1012" s="1"/>
      <c r="BV1012" s="1"/>
      <c r="BW1012" s="1"/>
      <c r="BX1012" s="1"/>
      <c r="BY1012" s="1"/>
      <c r="BZ1012" s="1"/>
      <c r="CA1012" s="1"/>
      <c r="CB1012" s="1"/>
      <c r="CC1012" s="1"/>
      <c r="CD1012" s="1"/>
      <c r="CE1012" s="1"/>
      <c r="CF1012" s="1"/>
      <c r="CG1012" s="1"/>
      <c r="CH1012" s="1"/>
      <c r="CI1012" s="1"/>
      <c r="CJ1012" s="1"/>
      <c r="CK1012" s="1"/>
      <c r="CL1012" s="1"/>
      <c r="CM1012" s="1"/>
      <c r="CN1012" s="1"/>
      <c r="CO1012" s="1"/>
      <c r="CP1012" s="1"/>
      <c r="CQ1012" s="1"/>
      <c r="CR1012" s="1"/>
      <c r="CS1012" s="1"/>
      <c r="CT1012" s="1"/>
      <c r="CU1012" s="1"/>
      <c r="CV1012" s="1"/>
      <c r="CW1012" s="1"/>
      <c r="CX1012" s="1"/>
      <c r="CY1012" s="1"/>
    </row>
    <row r="1013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  <c r="BR1013" s="1"/>
      <c r="BS1013" s="1"/>
      <c r="BT1013" s="1"/>
      <c r="BU1013" s="1"/>
      <c r="BV1013" s="1"/>
      <c r="BW1013" s="1"/>
      <c r="BX1013" s="1"/>
      <c r="BY1013" s="1"/>
      <c r="BZ1013" s="1"/>
      <c r="CA1013" s="1"/>
      <c r="CB1013" s="1"/>
      <c r="CC1013" s="1"/>
      <c r="CD1013" s="1"/>
      <c r="CE1013" s="1"/>
      <c r="CF1013" s="1"/>
      <c r="CG1013" s="1"/>
      <c r="CH1013" s="1"/>
      <c r="CI1013" s="1"/>
      <c r="CJ1013" s="1"/>
      <c r="CK1013" s="1"/>
      <c r="CL1013" s="1"/>
      <c r="CM1013" s="1"/>
      <c r="CN1013" s="1"/>
      <c r="CO1013" s="1"/>
      <c r="CP1013" s="1"/>
      <c r="CQ1013" s="1"/>
      <c r="CR1013" s="1"/>
      <c r="CS1013" s="1"/>
      <c r="CT1013" s="1"/>
      <c r="CU1013" s="1"/>
      <c r="CV1013" s="1"/>
      <c r="CW1013" s="1"/>
      <c r="CX1013" s="1"/>
      <c r="CY1013" s="1"/>
    </row>
    <row r="1014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  <c r="BR1014" s="1"/>
      <c r="BS1014" s="1"/>
      <c r="BT1014" s="1"/>
      <c r="BU1014" s="1"/>
      <c r="BV1014" s="1"/>
      <c r="BW1014" s="1"/>
      <c r="BX1014" s="1"/>
      <c r="BY1014" s="1"/>
      <c r="BZ1014" s="1"/>
      <c r="CA1014" s="1"/>
      <c r="CB1014" s="1"/>
      <c r="CC1014" s="1"/>
      <c r="CD1014" s="1"/>
      <c r="CE1014" s="1"/>
      <c r="CF1014" s="1"/>
      <c r="CG1014" s="1"/>
      <c r="CH1014" s="1"/>
      <c r="CI1014" s="1"/>
      <c r="CJ1014" s="1"/>
      <c r="CK1014" s="1"/>
      <c r="CL1014" s="1"/>
      <c r="CM1014" s="1"/>
      <c r="CN1014" s="1"/>
      <c r="CO1014" s="1"/>
      <c r="CP1014" s="1"/>
      <c r="CQ1014" s="1"/>
      <c r="CR1014" s="1"/>
      <c r="CS1014" s="1"/>
      <c r="CT1014" s="1"/>
      <c r="CU1014" s="1"/>
      <c r="CV1014" s="1"/>
      <c r="CW1014" s="1"/>
      <c r="CX1014" s="1"/>
      <c r="CY1014" s="1"/>
    </row>
    <row r="101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  <c r="BR1015" s="1"/>
      <c r="BS1015" s="1"/>
      <c r="BT1015" s="1"/>
      <c r="BU1015" s="1"/>
      <c r="BV1015" s="1"/>
      <c r="BW1015" s="1"/>
      <c r="BX1015" s="1"/>
      <c r="BY1015" s="1"/>
      <c r="BZ1015" s="1"/>
      <c r="CA1015" s="1"/>
      <c r="CB1015" s="1"/>
      <c r="CC1015" s="1"/>
      <c r="CD1015" s="1"/>
      <c r="CE1015" s="1"/>
      <c r="CF1015" s="1"/>
      <c r="CG1015" s="1"/>
      <c r="CH1015" s="1"/>
      <c r="CI1015" s="1"/>
      <c r="CJ1015" s="1"/>
      <c r="CK1015" s="1"/>
      <c r="CL1015" s="1"/>
      <c r="CM1015" s="1"/>
      <c r="CN1015" s="1"/>
      <c r="CO1015" s="1"/>
      <c r="CP1015" s="1"/>
      <c r="CQ1015" s="1"/>
      <c r="CR1015" s="1"/>
      <c r="CS1015" s="1"/>
      <c r="CT1015" s="1"/>
      <c r="CU1015" s="1"/>
      <c r="CV1015" s="1"/>
      <c r="CW1015" s="1"/>
      <c r="CX1015" s="1"/>
      <c r="CY1015" s="1"/>
    </row>
    <row r="10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1"/>
      <c r="BR1016" s="1"/>
      <c r="BS1016" s="1"/>
      <c r="BT1016" s="1"/>
      <c r="BU1016" s="1"/>
      <c r="BV1016" s="1"/>
      <c r="BW1016" s="1"/>
      <c r="BX1016" s="1"/>
      <c r="BY1016" s="1"/>
      <c r="BZ1016" s="1"/>
      <c r="CA1016" s="1"/>
      <c r="CB1016" s="1"/>
      <c r="CC1016" s="1"/>
      <c r="CD1016" s="1"/>
      <c r="CE1016" s="1"/>
      <c r="CF1016" s="1"/>
      <c r="CG1016" s="1"/>
      <c r="CH1016" s="1"/>
      <c r="CI1016" s="1"/>
      <c r="CJ1016" s="1"/>
      <c r="CK1016" s="1"/>
      <c r="CL1016" s="1"/>
      <c r="CM1016" s="1"/>
      <c r="CN1016" s="1"/>
      <c r="CO1016" s="1"/>
      <c r="CP1016" s="1"/>
      <c r="CQ1016" s="1"/>
      <c r="CR1016" s="1"/>
      <c r="CS1016" s="1"/>
      <c r="CT1016" s="1"/>
      <c r="CU1016" s="1"/>
      <c r="CV1016" s="1"/>
      <c r="CW1016" s="1"/>
      <c r="CX1016" s="1"/>
      <c r="CY1016" s="1"/>
    </row>
  </sheetData>
  <mergeCells count="82">
    <mergeCell ref="R28:X28"/>
    <mergeCell ref="Y28:AE28"/>
    <mergeCell ref="AF28:AL28"/>
    <mergeCell ref="AM28:AO28"/>
    <mergeCell ref="B23:J23"/>
    <mergeCell ref="B24:J24"/>
    <mergeCell ref="B25:J25"/>
    <mergeCell ref="B26:J28"/>
    <mergeCell ref="R26:X26"/>
    <mergeCell ref="Y26:AE26"/>
    <mergeCell ref="Y27:AE27"/>
    <mergeCell ref="K26:Q26"/>
    <mergeCell ref="K28:Q28"/>
    <mergeCell ref="B30:H33"/>
    <mergeCell ref="I30:J33"/>
    <mergeCell ref="K30:Q31"/>
    <mergeCell ref="R30:X31"/>
    <mergeCell ref="Y30:AE31"/>
    <mergeCell ref="AT35:AX35"/>
    <mergeCell ref="AT36:AX36"/>
    <mergeCell ref="AT37:AX37"/>
    <mergeCell ref="AT38:AX38"/>
    <mergeCell ref="AT39:AX39"/>
    <mergeCell ref="AT40:AX40"/>
    <mergeCell ref="AF30:AL31"/>
    <mergeCell ref="AM30:AO31"/>
    <mergeCell ref="AQ30:AQ33"/>
    <mergeCell ref="AR30:AR33"/>
    <mergeCell ref="AT30:AX30"/>
    <mergeCell ref="AT31:AX33"/>
    <mergeCell ref="AT34:AX34"/>
    <mergeCell ref="C37:H37"/>
    <mergeCell ref="C38:H38"/>
    <mergeCell ref="I38:J38"/>
    <mergeCell ref="C39:H39"/>
    <mergeCell ref="I39:J39"/>
    <mergeCell ref="C40:H40"/>
    <mergeCell ref="I40:J40"/>
    <mergeCell ref="C34:H34"/>
    <mergeCell ref="I34:J34"/>
    <mergeCell ref="C35:H35"/>
    <mergeCell ref="I35:J35"/>
    <mergeCell ref="C36:H36"/>
    <mergeCell ref="I36:J36"/>
    <mergeCell ref="I37:J37"/>
    <mergeCell ref="B2:H4"/>
    <mergeCell ref="AQ2:AX3"/>
    <mergeCell ref="B5:H6"/>
    <mergeCell ref="B9:H9"/>
    <mergeCell ref="B10:D10"/>
    <mergeCell ref="E10:H10"/>
    <mergeCell ref="B11:D11"/>
    <mergeCell ref="E11:H11"/>
    <mergeCell ref="K13:Q14"/>
    <mergeCell ref="R13:X14"/>
    <mergeCell ref="Y13:AE14"/>
    <mergeCell ref="AF13:AL14"/>
    <mergeCell ref="AM13:AO14"/>
    <mergeCell ref="AQ13:AX16"/>
    <mergeCell ref="B13:J16"/>
    <mergeCell ref="B17:J22"/>
    <mergeCell ref="K17:Q22"/>
    <mergeCell ref="R17:X22"/>
    <mergeCell ref="Y17:AE22"/>
    <mergeCell ref="AF17:AL22"/>
    <mergeCell ref="AM17:AO22"/>
    <mergeCell ref="AR24:AX24"/>
    <mergeCell ref="AR25:AX25"/>
    <mergeCell ref="AR26:AX26"/>
    <mergeCell ref="AR17:AX17"/>
    <mergeCell ref="AR18:AX18"/>
    <mergeCell ref="AR19:AX19"/>
    <mergeCell ref="AR20:AX20"/>
    <mergeCell ref="AR21:AX21"/>
    <mergeCell ref="AR22:AX22"/>
    <mergeCell ref="AR23:AX23"/>
    <mergeCell ref="AF26:AL26"/>
    <mergeCell ref="AM26:AO26"/>
    <mergeCell ref="AF27:AL27"/>
    <mergeCell ref="AM27:AO27"/>
    <mergeCell ref="K27:Q27"/>
    <mergeCell ref="R27:X27"/>
  </mergeCells>
  <dataValidations>
    <dataValidation type="list" allowBlank="1" showErrorMessage="1" sqref="E11">
      <formula1>'Habit Tracker'!$BA$1:$BA$12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sheetData/>
  <drawing r:id="rId1"/>
</worksheet>
</file>